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INSTITUTE\rk\"/>
    </mc:Choice>
  </mc:AlternateContent>
  <xr:revisionPtr revIDLastSave="0" documentId="8_{805F35DF-69A8-44EA-9009-8C0F4A814D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модель" sheetId="2" r:id="rId1"/>
    <sheet name="эксперимент" sheetId="3" r:id="rId2"/>
  </sheets>
  <definedNames>
    <definedName name="ALT">модель!$A$123</definedName>
    <definedName name="AST">модель!$A$132</definedName>
    <definedName name="closed">модель!$C$3</definedName>
    <definedName name="E1F">модель!$A$126</definedName>
    <definedName name="E2F">модель!$A$127</definedName>
    <definedName name="E3F">модель!$A$128</definedName>
    <definedName name="MXQ">модель!$A$131</definedName>
    <definedName name="NLC">модель!$A$129</definedName>
    <definedName name="renegat">модель!$E$3</definedName>
    <definedName name="RUNC">эксперимент!$C$2</definedName>
    <definedName name="SRVT">модель!$B$9:$D$12</definedName>
    <definedName name="start">модель!$A$3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5" i="3" l="1"/>
  <c r="M96" i="3" s="1"/>
  <c r="N96" i="3" s="1"/>
  <c r="M97" i="3" s="1"/>
  <c r="N97" i="3" s="1"/>
  <c r="M98" i="3" s="1"/>
  <c r="N98" i="3" s="1"/>
  <c r="G110" i="3"/>
  <c r="F110" i="3"/>
  <c r="E110" i="3"/>
  <c r="C110" i="3"/>
  <c r="B110" i="3"/>
  <c r="I110" i="3"/>
  <c r="H110" i="3"/>
  <c r="D110" i="3"/>
  <c r="B48" i="3"/>
  <c r="I48" i="3"/>
  <c r="O68" i="3"/>
  <c r="N69" i="3" s="1"/>
  <c r="O69" i="3" s="1"/>
  <c r="N70" i="3" s="1"/>
  <c r="O70" i="3" s="1"/>
  <c r="N71" i="3" s="1"/>
  <c r="O71" i="3" s="1"/>
  <c r="B20" i="2"/>
  <c r="C20" i="2" s="1"/>
  <c r="F20" i="2" s="1"/>
  <c r="O123" i="2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T19" i="2"/>
  <c r="R19" i="2"/>
  <c r="P19" i="2"/>
  <c r="F19" i="2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22" i="2"/>
  <c r="E22" i="2" s="1"/>
  <c r="D23" i="2"/>
  <c r="E23" i="2" s="1"/>
  <c r="D24" i="2"/>
  <c r="E24" i="2" s="1"/>
  <c r="D25" i="2"/>
  <c r="E25" i="2" s="1"/>
  <c r="D26" i="2"/>
  <c r="E26" i="2" s="1"/>
  <c r="D21" i="2"/>
  <c r="E21" i="2" s="1"/>
  <c r="D20" i="2"/>
  <c r="E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C9" i="2"/>
  <c r="B10" i="2" s="1"/>
  <c r="C10" i="2" s="1"/>
  <c r="B11" i="2" s="1"/>
  <c r="C11" i="2" s="1"/>
  <c r="B12" i="2" s="1"/>
  <c r="C12" i="2" s="1"/>
  <c r="A132" i="2" l="1"/>
  <c r="F21" i="2"/>
  <c r="K20" i="2"/>
  <c r="L20" i="2"/>
  <c r="J20" i="2"/>
  <c r="M20" i="2" l="1"/>
  <c r="F22" i="2"/>
  <c r="A21" i="2"/>
  <c r="G20" i="2" l="1"/>
  <c r="Z21" i="2"/>
  <c r="A22" i="2"/>
  <c r="F23" i="2"/>
  <c r="H20" i="2" l="1"/>
  <c r="F24" i="2"/>
  <c r="A23" i="2"/>
  <c r="N20" i="2" l="1"/>
  <c r="V20" i="2"/>
  <c r="U20" i="2"/>
  <c r="I20" i="2"/>
  <c r="X20" i="2"/>
  <c r="F25" i="2"/>
  <c r="A24" i="2"/>
  <c r="Q20" i="2" l="1"/>
  <c r="R20" i="2"/>
  <c r="K21" i="2" s="1"/>
  <c r="S20" i="2"/>
  <c r="O20" i="2"/>
  <c r="P20" i="2" s="1"/>
  <c r="T20" i="2"/>
  <c r="L21" i="2" s="1"/>
  <c r="A25" i="2"/>
  <c r="F26" i="2"/>
  <c r="J21" i="2" l="1"/>
  <c r="M21" i="2" s="1"/>
  <c r="Y20" i="2"/>
  <c r="W20" i="2" s="1"/>
  <c r="A26" i="2"/>
  <c r="F27" i="2"/>
  <c r="G21" i="2" l="1"/>
  <c r="Z22" i="2"/>
  <c r="A27" i="2"/>
  <c r="F28" i="2"/>
  <c r="H21" i="2" l="1"/>
  <c r="A28" i="2"/>
  <c r="F29" i="2"/>
  <c r="I21" i="2" l="1"/>
  <c r="N21" i="2"/>
  <c r="U21" i="2"/>
  <c r="V21" i="2"/>
  <c r="X21" i="2"/>
  <c r="A29" i="2"/>
  <c r="F30" i="2"/>
  <c r="S21" i="2" l="1"/>
  <c r="Q21" i="2"/>
  <c r="O21" i="2"/>
  <c r="P21" i="2" s="1"/>
  <c r="J22" i="2" s="1"/>
  <c r="T21" i="2"/>
  <c r="L22" i="2" s="1"/>
  <c r="A30" i="2"/>
  <c r="F31" i="2"/>
  <c r="R21" i="2" l="1"/>
  <c r="A31" i="2"/>
  <c r="F32" i="2"/>
  <c r="K22" i="2" l="1"/>
  <c r="M22" i="2" s="1"/>
  <c r="Y21" i="2"/>
  <c r="W21" i="2" s="1"/>
  <c r="A32" i="2"/>
  <c r="F33" i="2"/>
  <c r="G22" i="2" l="1"/>
  <c r="Z23" i="2"/>
  <c r="A33" i="2"/>
  <c r="F34" i="2"/>
  <c r="H22" i="2" l="1"/>
  <c r="U22" i="2" s="1"/>
  <c r="A34" i="2"/>
  <c r="F35" i="2"/>
  <c r="V22" i="2" l="1"/>
  <c r="N22" i="2"/>
  <c r="I22" i="2"/>
  <c r="X22" i="2"/>
  <c r="A35" i="2"/>
  <c r="F36" i="2"/>
  <c r="O22" i="2" l="1"/>
  <c r="P22" i="2" s="1"/>
  <c r="Q22" i="2"/>
  <c r="R22" i="2" s="1"/>
  <c r="K23" i="2" s="1"/>
  <c r="S22" i="2"/>
  <c r="T22" i="2" s="1"/>
  <c r="A36" i="2"/>
  <c r="F37" i="2"/>
  <c r="L23" i="2" l="1"/>
  <c r="J23" i="2"/>
  <c r="Y22" i="2"/>
  <c r="W22" i="2" s="1"/>
  <c r="A37" i="2"/>
  <c r="F38" i="2"/>
  <c r="M23" i="2" l="1"/>
  <c r="A38" i="2"/>
  <c r="F39" i="2"/>
  <c r="G23" i="2" l="1"/>
  <c r="Z24" i="2"/>
  <c r="A39" i="2"/>
  <c r="F40" i="2"/>
  <c r="H23" i="2" l="1"/>
  <c r="A40" i="2"/>
  <c r="F41" i="2"/>
  <c r="I23" i="2" l="1"/>
  <c r="U23" i="2" s="1"/>
  <c r="N23" i="2"/>
  <c r="V23" i="2"/>
  <c r="A41" i="2"/>
  <c r="F42" i="2"/>
  <c r="O23" i="2" l="1"/>
  <c r="P23" i="2" s="1"/>
  <c r="J24" i="2" s="1"/>
  <c r="Q23" i="2"/>
  <c r="R23" i="2" s="1"/>
  <c r="K24" i="2" s="1"/>
  <c r="S23" i="2"/>
  <c r="T23" i="2" s="1"/>
  <c r="L24" i="2" s="1"/>
  <c r="A42" i="2"/>
  <c r="F43" i="2"/>
  <c r="Y23" i="2" l="1"/>
  <c r="W23" i="2" s="1"/>
  <c r="X23" i="2" s="1"/>
  <c r="M24" i="2"/>
  <c r="A43" i="2"/>
  <c r="F44" i="2"/>
  <c r="G24" i="2" l="1"/>
  <c r="H24" i="2" s="1"/>
  <c r="Z25" i="2"/>
  <c r="A44" i="2"/>
  <c r="F45" i="2"/>
  <c r="N24" i="2" l="1"/>
  <c r="V24" i="2"/>
  <c r="I24" i="2"/>
  <c r="U24" i="2" s="1"/>
  <c r="A45" i="2"/>
  <c r="F46" i="2"/>
  <c r="Q24" i="2" l="1"/>
  <c r="R24" i="2" s="1"/>
  <c r="S24" i="2"/>
  <c r="T24" i="2" s="1"/>
  <c r="L25" i="2" s="1"/>
  <c r="O24" i="2"/>
  <c r="P24" i="2" s="1"/>
  <c r="J25" i="2" s="1"/>
  <c r="A46" i="2"/>
  <c r="F47" i="2"/>
  <c r="K25" i="2" l="1"/>
  <c r="M25" i="2" s="1"/>
  <c r="Y24" i="2"/>
  <c r="W24" i="2" s="1"/>
  <c r="X24" i="2" s="1"/>
  <c r="A47" i="2"/>
  <c r="F48" i="2"/>
  <c r="G25" i="2" l="1"/>
  <c r="H25" i="2" s="1"/>
  <c r="Z26" i="2"/>
  <c r="A48" i="2"/>
  <c r="F49" i="2"/>
  <c r="I25" i="2" l="1"/>
  <c r="U25" i="2" s="1"/>
  <c r="V25" i="2"/>
  <c r="N25" i="2"/>
  <c r="Q25" i="2" s="1"/>
  <c r="R25" i="2" s="1"/>
  <c r="K26" i="2" s="1"/>
  <c r="A49" i="2"/>
  <c r="F50" i="2"/>
  <c r="S25" i="2" l="1"/>
  <c r="T25" i="2" s="1"/>
  <c r="O25" i="2"/>
  <c r="P25" i="2" s="1"/>
  <c r="J26" i="2" s="1"/>
  <c r="A50" i="2"/>
  <c r="F51" i="2"/>
  <c r="Y25" i="2" l="1"/>
  <c r="W25" i="2" s="1"/>
  <c r="X25" i="2" s="1"/>
  <c r="L26" i="2"/>
  <c r="M26" i="2" s="1"/>
  <c r="A51" i="2"/>
  <c r="F52" i="2"/>
  <c r="Z27" i="2" l="1"/>
  <c r="G26" i="2"/>
  <c r="H26" i="2" s="1"/>
  <c r="A52" i="2"/>
  <c r="F53" i="2"/>
  <c r="I26" i="2" l="1"/>
  <c r="U26" i="2" s="1"/>
  <c r="V26" i="2"/>
  <c r="N26" i="2"/>
  <c r="A53" i="2"/>
  <c r="F54" i="2"/>
  <c r="Q26" i="2" l="1"/>
  <c r="R26" i="2" s="1"/>
  <c r="S26" i="2"/>
  <c r="T26" i="2" s="1"/>
  <c r="L27" i="2" s="1"/>
  <c r="O26" i="2"/>
  <c r="P26" i="2" s="1"/>
  <c r="J27" i="2" s="1"/>
  <c r="A54" i="2"/>
  <c r="F55" i="2"/>
  <c r="K27" i="2" l="1"/>
  <c r="M27" i="2" s="1"/>
  <c r="Y26" i="2"/>
  <c r="W26" i="2" s="1"/>
  <c r="X26" i="2" s="1"/>
  <c r="A55" i="2"/>
  <c r="F56" i="2"/>
  <c r="G27" i="2" l="1"/>
  <c r="H27" i="2" s="1"/>
  <c r="I27" i="2" s="1"/>
  <c r="U27" i="2" s="1"/>
  <c r="Z28" i="2"/>
  <c r="A56" i="2"/>
  <c r="F57" i="2"/>
  <c r="V27" i="2" l="1"/>
  <c r="N27" i="2"/>
  <c r="A57" i="2"/>
  <c r="F58" i="2"/>
  <c r="S27" i="2" l="1"/>
  <c r="T27" i="2" s="1"/>
  <c r="L28" i="2" s="1"/>
  <c r="O27" i="2"/>
  <c r="P27" i="2" s="1"/>
  <c r="Q27" i="2"/>
  <c r="R27" i="2" s="1"/>
  <c r="K28" i="2" s="1"/>
  <c r="A58" i="2"/>
  <c r="F59" i="2"/>
  <c r="J28" i="2" l="1"/>
  <c r="M28" i="2" s="1"/>
  <c r="Y27" i="2"/>
  <c r="W27" i="2" s="1"/>
  <c r="X27" i="2" s="1"/>
  <c r="A59" i="2"/>
  <c r="F60" i="2"/>
  <c r="Z29" i="2" l="1"/>
  <c r="G28" i="2"/>
  <c r="H28" i="2" s="1"/>
  <c r="A60" i="2"/>
  <c r="F61" i="2"/>
  <c r="V28" i="2" l="1"/>
  <c r="N28" i="2"/>
  <c r="Q28" i="2" s="1"/>
  <c r="R28" i="2" s="1"/>
  <c r="I28" i="2"/>
  <c r="U28" i="2" s="1"/>
  <c r="A61" i="2"/>
  <c r="F62" i="2"/>
  <c r="S28" i="2" l="1"/>
  <c r="T28" i="2" s="1"/>
  <c r="O28" i="2"/>
  <c r="P28" i="2" s="1"/>
  <c r="J29" i="2" s="1"/>
  <c r="K29" i="2"/>
  <c r="A62" i="2"/>
  <c r="F63" i="2"/>
  <c r="L29" i="2" l="1"/>
  <c r="M29" i="2" s="1"/>
  <c r="Y28" i="2"/>
  <c r="W28" i="2" s="1"/>
  <c r="X28" i="2" s="1"/>
  <c r="A63" i="2"/>
  <c r="F64" i="2"/>
  <c r="G29" i="2" l="1"/>
  <c r="H29" i="2" s="1"/>
  <c r="Z30" i="2"/>
  <c r="A64" i="2"/>
  <c r="F65" i="2"/>
  <c r="N29" i="2" l="1"/>
  <c r="I29" i="2"/>
  <c r="U29" i="2" s="1"/>
  <c r="V29" i="2"/>
  <c r="A65" i="2"/>
  <c r="F66" i="2"/>
  <c r="S29" i="2" l="1"/>
  <c r="T29" i="2" s="1"/>
  <c r="L30" i="2" s="1"/>
  <c r="O29" i="2"/>
  <c r="P29" i="2" s="1"/>
  <c r="Q29" i="2"/>
  <c r="R29" i="2" s="1"/>
  <c r="K30" i="2" s="1"/>
  <c r="A66" i="2"/>
  <c r="F67" i="2"/>
  <c r="Y29" i="2" l="1"/>
  <c r="W29" i="2" s="1"/>
  <c r="X29" i="2" s="1"/>
  <c r="J30" i="2"/>
  <c r="M30" i="2" s="1"/>
  <c r="A67" i="2"/>
  <c r="F68" i="2"/>
  <c r="Z31" i="2" l="1"/>
  <c r="G30" i="2"/>
  <c r="H30" i="2" s="1"/>
  <c r="A68" i="2"/>
  <c r="F69" i="2"/>
  <c r="F70" i="2" s="1"/>
  <c r="V30" i="2" l="1"/>
  <c r="N30" i="2"/>
  <c r="S30" i="2" s="1"/>
  <c r="T30" i="2" s="1"/>
  <c r="L31" i="2" s="1"/>
  <c r="I30" i="2"/>
  <c r="U30" i="2" s="1"/>
  <c r="F71" i="2"/>
  <c r="A69" i="2"/>
  <c r="A70" i="2" s="1"/>
  <c r="O30" i="2" l="1"/>
  <c r="P30" i="2" s="1"/>
  <c r="Q30" i="2"/>
  <c r="R30" i="2" s="1"/>
  <c r="K31" i="2" s="1"/>
  <c r="A71" i="2"/>
  <c r="F72" i="2"/>
  <c r="J31" i="2" l="1"/>
  <c r="M31" i="2" s="1"/>
  <c r="Y30" i="2"/>
  <c r="W30" i="2" s="1"/>
  <c r="X30" i="2" s="1"/>
  <c r="A72" i="2"/>
  <c r="F73" i="2"/>
  <c r="Z32" i="2" l="1"/>
  <c r="G31" i="2"/>
  <c r="H31" i="2" s="1"/>
  <c r="A73" i="2"/>
  <c r="F74" i="2"/>
  <c r="N31" i="2" l="1"/>
  <c r="V31" i="2"/>
  <c r="I31" i="2"/>
  <c r="U31" i="2" s="1"/>
  <c r="A74" i="2"/>
  <c r="F75" i="2"/>
  <c r="O31" i="2" l="1"/>
  <c r="P31" i="2" s="1"/>
  <c r="J32" i="2" s="1"/>
  <c r="S31" i="2"/>
  <c r="T31" i="2" s="1"/>
  <c r="L32" i="2" s="1"/>
  <c r="Q31" i="2"/>
  <c r="R31" i="2" s="1"/>
  <c r="A75" i="2"/>
  <c r="F76" i="2"/>
  <c r="K32" i="2" l="1"/>
  <c r="M32" i="2" s="1"/>
  <c r="Y31" i="2"/>
  <c r="W31" i="2" s="1"/>
  <c r="X31" i="2" s="1"/>
  <c r="A76" i="2"/>
  <c r="F77" i="2"/>
  <c r="Z33" i="2" l="1"/>
  <c r="G32" i="2"/>
  <c r="H32" i="2" s="1"/>
  <c r="A77" i="2"/>
  <c r="F78" i="2"/>
  <c r="I32" i="2" l="1"/>
  <c r="U32" i="2" s="1"/>
  <c r="V32" i="2"/>
  <c r="N32" i="2"/>
  <c r="A78" i="2"/>
  <c r="F79" i="2"/>
  <c r="S32" i="2" l="1"/>
  <c r="T32" i="2" s="1"/>
  <c r="Q32" i="2"/>
  <c r="R32" i="2" s="1"/>
  <c r="K33" i="2" s="1"/>
  <c r="O32" i="2"/>
  <c r="P32" i="2" s="1"/>
  <c r="J33" i="2" s="1"/>
  <c r="A79" i="2"/>
  <c r="F80" i="2"/>
  <c r="L33" i="2" l="1"/>
  <c r="M33" i="2" s="1"/>
  <c r="Y32" i="2"/>
  <c r="W32" i="2" s="1"/>
  <c r="X32" i="2" s="1"/>
  <c r="A80" i="2"/>
  <c r="F81" i="2"/>
  <c r="G33" i="2" l="1"/>
  <c r="H33" i="2" s="1"/>
  <c r="Z34" i="2"/>
  <c r="A81" i="2"/>
  <c r="F82" i="2"/>
  <c r="N33" i="2" l="1"/>
  <c r="I33" i="2"/>
  <c r="U33" i="2" s="1"/>
  <c r="V33" i="2"/>
  <c r="A82" i="2"/>
  <c r="F83" i="2"/>
  <c r="S33" i="2" l="1"/>
  <c r="T33" i="2" s="1"/>
  <c r="L34" i="2" s="1"/>
  <c r="Q33" i="2"/>
  <c r="R33" i="2" s="1"/>
  <c r="K34" i="2" s="1"/>
  <c r="O33" i="2"/>
  <c r="P33" i="2" s="1"/>
  <c r="A83" i="2"/>
  <c r="F84" i="2"/>
  <c r="J34" i="2" l="1"/>
  <c r="M34" i="2" s="1"/>
  <c r="Y33" i="2"/>
  <c r="W33" i="2" s="1"/>
  <c r="X33" i="2" s="1"/>
  <c r="A84" i="2"/>
  <c r="F85" i="2"/>
  <c r="G34" i="2" l="1"/>
  <c r="H34" i="2" s="1"/>
  <c r="Z35" i="2"/>
  <c r="A85" i="2"/>
  <c r="F86" i="2"/>
  <c r="I34" i="2" l="1"/>
  <c r="U34" i="2" s="1"/>
  <c r="N34" i="2"/>
  <c r="V34" i="2"/>
  <c r="A86" i="2"/>
  <c r="F87" i="2"/>
  <c r="S34" i="2" l="1"/>
  <c r="T34" i="2" s="1"/>
  <c r="O34" i="2"/>
  <c r="P34" i="2" s="1"/>
  <c r="J35" i="2" s="1"/>
  <c r="Q34" i="2"/>
  <c r="R34" i="2" s="1"/>
  <c r="K35" i="2" s="1"/>
  <c r="A87" i="2"/>
  <c r="F88" i="2"/>
  <c r="L35" i="2" l="1"/>
  <c r="M35" i="2" s="1"/>
  <c r="Y34" i="2"/>
  <c r="W34" i="2" s="1"/>
  <c r="X34" i="2" s="1"/>
  <c r="A88" i="2"/>
  <c r="F89" i="2"/>
  <c r="Z36" i="2" l="1"/>
  <c r="G35" i="2"/>
  <c r="H35" i="2" s="1"/>
  <c r="A89" i="2"/>
  <c r="F90" i="2"/>
  <c r="I35" i="2" l="1"/>
  <c r="U35" i="2" s="1"/>
  <c r="V35" i="2"/>
  <c r="N35" i="2"/>
  <c r="A90" i="2"/>
  <c r="F91" i="2"/>
  <c r="Q35" i="2" l="1"/>
  <c r="R35" i="2" s="1"/>
  <c r="S35" i="2"/>
  <c r="T35" i="2" s="1"/>
  <c r="L36" i="2" s="1"/>
  <c r="O35" i="2"/>
  <c r="P35" i="2" s="1"/>
  <c r="J36" i="2" s="1"/>
  <c r="A91" i="2"/>
  <c r="F92" i="2"/>
  <c r="Y35" i="2" l="1"/>
  <c r="W35" i="2" s="1"/>
  <c r="X35" i="2" s="1"/>
  <c r="K36" i="2"/>
  <c r="M36" i="2" s="1"/>
  <c r="A92" i="2"/>
  <c r="F93" i="2"/>
  <c r="G36" i="2" l="1"/>
  <c r="H36" i="2" s="1"/>
  <c r="Z37" i="2"/>
  <c r="A93" i="2"/>
  <c r="F94" i="2"/>
  <c r="N36" i="2" l="1"/>
  <c r="I36" i="2"/>
  <c r="U36" i="2" s="1"/>
  <c r="V36" i="2"/>
  <c r="A94" i="2"/>
  <c r="F95" i="2"/>
  <c r="S36" i="2" l="1"/>
  <c r="T36" i="2" s="1"/>
  <c r="L37" i="2" s="1"/>
  <c r="Q36" i="2"/>
  <c r="R36" i="2" s="1"/>
  <c r="K37" i="2" s="1"/>
  <c r="O36" i="2"/>
  <c r="P36" i="2" s="1"/>
  <c r="A95" i="2"/>
  <c r="F96" i="2"/>
  <c r="J37" i="2" l="1"/>
  <c r="M37" i="2" s="1"/>
  <c r="Y36" i="2"/>
  <c r="W36" i="2" s="1"/>
  <c r="X36" i="2" s="1"/>
  <c r="A96" i="2"/>
  <c r="F97" i="2"/>
  <c r="G37" i="2" l="1"/>
  <c r="H37" i="2" s="1"/>
  <c r="I37" i="2" s="1"/>
  <c r="U37" i="2" s="1"/>
  <c r="Z38" i="2"/>
  <c r="A97" i="2"/>
  <c r="F98" i="2"/>
  <c r="N37" i="2" l="1"/>
  <c r="V37" i="2"/>
  <c r="A98" i="2"/>
  <c r="F99" i="2"/>
  <c r="S37" i="2" l="1"/>
  <c r="T37" i="2" s="1"/>
  <c r="L38" i="2" s="1"/>
  <c r="O37" i="2"/>
  <c r="P37" i="2" s="1"/>
  <c r="Q37" i="2"/>
  <c r="R37" i="2" s="1"/>
  <c r="K38" i="2" s="1"/>
  <c r="A99" i="2"/>
  <c r="F100" i="2"/>
  <c r="J38" i="2" l="1"/>
  <c r="M38" i="2" s="1"/>
  <c r="Y37" i="2"/>
  <c r="W37" i="2" s="1"/>
  <c r="X37" i="2" s="1"/>
  <c r="A100" i="2"/>
  <c r="F101" i="2"/>
  <c r="Z39" i="2" l="1"/>
  <c r="G38" i="2"/>
  <c r="H38" i="2" s="1"/>
  <c r="A101" i="2"/>
  <c r="F102" i="2"/>
  <c r="N38" i="2" l="1"/>
  <c r="I38" i="2"/>
  <c r="U38" i="2" s="1"/>
  <c r="V38" i="2"/>
  <c r="A102" i="2"/>
  <c r="F103" i="2"/>
  <c r="Q38" i="2" l="1"/>
  <c r="R38" i="2" s="1"/>
  <c r="K39" i="2" s="1"/>
  <c r="O38" i="2"/>
  <c r="P38" i="2" s="1"/>
  <c r="S38" i="2"/>
  <c r="T38" i="2" s="1"/>
  <c r="L39" i="2" s="1"/>
  <c r="A103" i="2"/>
  <c r="F104" i="2"/>
  <c r="Y38" i="2" l="1"/>
  <c r="W38" i="2" s="1"/>
  <c r="X38" i="2" s="1"/>
  <c r="J39" i="2"/>
  <c r="M39" i="2" s="1"/>
  <c r="A104" i="2"/>
  <c r="F105" i="2"/>
  <c r="Z40" i="2" l="1"/>
  <c r="G39" i="2"/>
  <c r="H39" i="2" s="1"/>
  <c r="A105" i="2"/>
  <c r="F106" i="2"/>
  <c r="N39" i="2" l="1"/>
  <c r="V39" i="2"/>
  <c r="I39" i="2"/>
  <c r="U39" i="2" s="1"/>
  <c r="A106" i="2"/>
  <c r="F107" i="2"/>
  <c r="Q39" i="2" l="1"/>
  <c r="R39" i="2" s="1"/>
  <c r="K40" i="2" s="1"/>
  <c r="S39" i="2"/>
  <c r="T39" i="2" s="1"/>
  <c r="O39" i="2"/>
  <c r="P39" i="2" s="1"/>
  <c r="J40" i="2" s="1"/>
  <c r="A107" i="2"/>
  <c r="F108" i="2"/>
  <c r="L40" i="2" l="1"/>
  <c r="M40" i="2" s="1"/>
  <c r="Y39" i="2"/>
  <c r="W39" i="2" s="1"/>
  <c r="X39" i="2" s="1"/>
  <c r="A108" i="2"/>
  <c r="F109" i="2"/>
  <c r="G40" i="2" l="1"/>
  <c r="H40" i="2" s="1"/>
  <c r="Z41" i="2"/>
  <c r="A109" i="2"/>
  <c r="F110" i="2"/>
  <c r="N40" i="2" l="1"/>
  <c r="V40" i="2"/>
  <c r="I40" i="2"/>
  <c r="U40" i="2" s="1"/>
  <c r="A110" i="2"/>
  <c r="F111" i="2"/>
  <c r="Q40" i="2" l="1"/>
  <c r="R40" i="2" s="1"/>
  <c r="S40" i="2"/>
  <c r="T40" i="2" s="1"/>
  <c r="L41" i="2" s="1"/>
  <c r="O40" i="2"/>
  <c r="P40" i="2" s="1"/>
  <c r="J41" i="2" s="1"/>
  <c r="A111" i="2"/>
  <c r="F112" i="2"/>
  <c r="K41" i="2" l="1"/>
  <c r="M41" i="2" s="1"/>
  <c r="Y40" i="2"/>
  <c r="W40" i="2" s="1"/>
  <c r="X40" i="2" s="1"/>
  <c r="A112" i="2"/>
  <c r="F113" i="2"/>
  <c r="Z42" i="2" l="1"/>
  <c r="G41" i="2"/>
  <c r="H41" i="2" s="1"/>
  <c r="A113" i="2"/>
  <c r="F114" i="2"/>
  <c r="N41" i="2" l="1"/>
  <c r="V41" i="2"/>
  <c r="I41" i="2"/>
  <c r="U41" i="2" s="1"/>
  <c r="A114" i="2"/>
  <c r="F115" i="2"/>
  <c r="O41" i="2" l="1"/>
  <c r="P41" i="2" s="1"/>
  <c r="J42" i="2" s="1"/>
  <c r="Q41" i="2"/>
  <c r="R41" i="2" s="1"/>
  <c r="K42" i="2" s="1"/>
  <c r="S41" i="2"/>
  <c r="T41" i="2" s="1"/>
  <c r="A115" i="2"/>
  <c r="F116" i="2"/>
  <c r="Y41" i="2" l="1"/>
  <c r="W41" i="2" s="1"/>
  <c r="X41" i="2" s="1"/>
  <c r="L42" i="2"/>
  <c r="M42" i="2" s="1"/>
  <c r="A116" i="2"/>
  <c r="F117" i="2"/>
  <c r="Z43" i="2" l="1"/>
  <c r="G42" i="2"/>
  <c r="H42" i="2" s="1"/>
  <c r="N42" i="2" s="1"/>
  <c r="A117" i="2"/>
  <c r="F118" i="2"/>
  <c r="I42" i="2" l="1"/>
  <c r="U42" i="2" s="1"/>
  <c r="V42" i="2"/>
  <c r="A118" i="2"/>
  <c r="F119" i="2"/>
  <c r="Q42" i="2"/>
  <c r="R42" i="2" s="1"/>
  <c r="S42" i="2"/>
  <c r="T42" i="2" s="1"/>
  <c r="L43" i="2" s="1"/>
  <c r="O42" i="2"/>
  <c r="P42" i="2" s="1"/>
  <c r="A119" i="2" l="1"/>
  <c r="K43" i="2"/>
  <c r="Y42" i="2"/>
  <c r="W42" i="2" s="1"/>
  <c r="X42" i="2" s="1"/>
  <c r="J43" i="2"/>
  <c r="M43" i="2" l="1"/>
  <c r="G43" i="2" l="1"/>
  <c r="H43" i="2" s="1"/>
  <c r="N43" i="2" s="1"/>
  <c r="Z44" i="2"/>
  <c r="I43" i="2" l="1"/>
  <c r="U43" i="2" s="1"/>
  <c r="V43" i="2"/>
  <c r="S43" i="2"/>
  <c r="T43" i="2" s="1"/>
  <c r="L44" i="2" s="1"/>
  <c r="Q43" i="2"/>
  <c r="R43" i="2" s="1"/>
  <c r="O43" i="2"/>
  <c r="P43" i="2" s="1"/>
  <c r="Y43" i="2" l="1"/>
  <c r="W43" i="2" s="1"/>
  <c r="X43" i="2" s="1"/>
  <c r="K44" i="2"/>
  <c r="J44" i="2"/>
  <c r="M44" i="2" l="1"/>
  <c r="G44" i="2" l="1"/>
  <c r="H44" i="2" s="1"/>
  <c r="Z45" i="2"/>
  <c r="N44" i="2" l="1"/>
  <c r="I44" i="2"/>
  <c r="U44" i="2" s="1"/>
  <c r="V44" i="2"/>
  <c r="O44" i="2" l="1"/>
  <c r="P44" i="2" s="1"/>
  <c r="Q44" i="2"/>
  <c r="R44" i="2" s="1"/>
  <c r="S44" i="2"/>
  <c r="T44" i="2" s="1"/>
  <c r="L45" i="2" s="1"/>
  <c r="K45" i="2" l="1"/>
  <c r="J45" i="2"/>
  <c r="Y44" i="2"/>
  <c r="W44" i="2" s="1"/>
  <c r="X44" i="2" s="1"/>
  <c r="M45" i="2" l="1"/>
  <c r="G45" i="2" l="1"/>
  <c r="H45" i="2" s="1"/>
  <c r="Z46" i="2"/>
  <c r="I45" i="2" l="1"/>
  <c r="U45" i="2" s="1"/>
  <c r="N45" i="2"/>
  <c r="V45" i="2"/>
  <c r="Q45" i="2" l="1"/>
  <c r="R45" i="2" s="1"/>
  <c r="K46" i="2" s="1"/>
  <c r="O45" i="2"/>
  <c r="P45" i="2" s="1"/>
  <c r="S45" i="2"/>
  <c r="T45" i="2" s="1"/>
  <c r="L46" i="2" s="1"/>
  <c r="J46" i="2" l="1"/>
  <c r="M46" i="2" s="1"/>
  <c r="Y45" i="2"/>
  <c r="W45" i="2" s="1"/>
  <c r="X45" i="2" s="1"/>
  <c r="G46" i="2" l="1"/>
  <c r="H46" i="2" s="1"/>
  <c r="Z47" i="2"/>
  <c r="N46" i="2" l="1"/>
  <c r="I46" i="2"/>
  <c r="U46" i="2" s="1"/>
  <c r="V46" i="2"/>
  <c r="S46" i="2" l="1"/>
  <c r="T46" i="2" s="1"/>
  <c r="Q46" i="2"/>
  <c r="R46" i="2" s="1"/>
  <c r="O46" i="2"/>
  <c r="P46" i="2" s="1"/>
  <c r="L47" i="2" l="1"/>
  <c r="K47" i="2"/>
  <c r="Y46" i="2"/>
  <c r="W46" i="2" s="1"/>
  <c r="X46" i="2" s="1"/>
  <c r="J47" i="2"/>
  <c r="M47" i="2" l="1"/>
  <c r="G47" i="2" l="1"/>
  <c r="H47" i="2" s="1"/>
  <c r="Z48" i="2"/>
  <c r="N47" i="2" l="1"/>
  <c r="V47" i="2"/>
  <c r="I47" i="2"/>
  <c r="U47" i="2" s="1"/>
  <c r="S47" i="2" l="1"/>
  <c r="T47" i="2" s="1"/>
  <c r="L48" i="2" s="1"/>
  <c r="O47" i="2"/>
  <c r="P47" i="2" s="1"/>
  <c r="Q47" i="2"/>
  <c r="R47" i="2" s="1"/>
  <c r="Y47" i="2" l="1"/>
  <c r="W47" i="2" s="1"/>
  <c r="X47" i="2" s="1"/>
  <c r="J48" i="2"/>
  <c r="K48" i="2"/>
  <c r="M48" i="2" l="1"/>
  <c r="G48" i="2" l="1"/>
  <c r="H48" i="2" s="1"/>
  <c r="Z49" i="2"/>
  <c r="I48" i="2" l="1"/>
  <c r="U48" i="2" s="1"/>
  <c r="N48" i="2"/>
  <c r="V48" i="2"/>
  <c r="O48" i="2" l="1"/>
  <c r="P48" i="2" s="1"/>
  <c r="S48" i="2"/>
  <c r="T48" i="2" s="1"/>
  <c r="L49" i="2" s="1"/>
  <c r="Q48" i="2"/>
  <c r="R48" i="2" s="1"/>
  <c r="K49" i="2" s="1"/>
  <c r="Y48" i="2" l="1"/>
  <c r="W48" i="2" s="1"/>
  <c r="X48" i="2" s="1"/>
  <c r="J49" i="2"/>
  <c r="M49" i="2" s="1"/>
  <c r="Z50" i="2" l="1"/>
  <c r="G49" i="2"/>
  <c r="H49" i="2" s="1"/>
  <c r="N49" i="2" l="1"/>
  <c r="V49" i="2"/>
  <c r="I49" i="2"/>
  <c r="U49" i="2" s="1"/>
  <c r="O49" i="2" l="1"/>
  <c r="P49" i="2" s="1"/>
  <c r="J50" i="2" s="1"/>
  <c r="S49" i="2"/>
  <c r="T49" i="2" s="1"/>
  <c r="Q49" i="2"/>
  <c r="R49" i="2" s="1"/>
  <c r="K50" i="2" s="1"/>
  <c r="L50" i="2" l="1"/>
  <c r="M50" i="2" s="1"/>
  <c r="Y49" i="2"/>
  <c r="W49" i="2" s="1"/>
  <c r="X49" i="2" s="1"/>
  <c r="G50" i="2" l="1"/>
  <c r="H50" i="2" s="1"/>
  <c r="Z51" i="2"/>
  <c r="N50" i="2" l="1"/>
  <c r="I50" i="2"/>
  <c r="U50" i="2" s="1"/>
  <c r="V50" i="2"/>
  <c r="S50" i="2" l="1"/>
  <c r="T50" i="2" s="1"/>
  <c r="O50" i="2"/>
  <c r="P50" i="2" s="1"/>
  <c r="Q50" i="2"/>
  <c r="R50" i="2" s="1"/>
  <c r="L51" i="2" l="1"/>
  <c r="Y50" i="2"/>
  <c r="W50" i="2" s="1"/>
  <c r="X50" i="2" s="1"/>
  <c r="J51" i="2"/>
  <c r="K51" i="2"/>
  <c r="M51" i="2" l="1"/>
  <c r="Z52" i="2" l="1"/>
  <c r="G51" i="2"/>
  <c r="H51" i="2" s="1"/>
  <c r="N51" i="2" l="1"/>
  <c r="V51" i="2"/>
  <c r="I51" i="2"/>
  <c r="U51" i="2" s="1"/>
  <c r="S51" i="2" l="1"/>
  <c r="T51" i="2" s="1"/>
  <c r="O51" i="2"/>
  <c r="P51" i="2" s="1"/>
  <c r="Q51" i="2"/>
  <c r="R51" i="2" s="1"/>
  <c r="L52" i="2" l="1"/>
  <c r="Y51" i="2"/>
  <c r="W51" i="2" s="1"/>
  <c r="X51" i="2" s="1"/>
  <c r="J52" i="2"/>
  <c r="K52" i="2"/>
  <c r="M52" i="2" l="1"/>
  <c r="Z53" i="2" l="1"/>
  <c r="G52" i="2"/>
  <c r="H52" i="2" s="1"/>
  <c r="V52" i="2" l="1"/>
  <c r="I52" i="2"/>
  <c r="U52" i="2" s="1"/>
  <c r="N52" i="2"/>
  <c r="Q52" i="2" l="1"/>
  <c r="R52" i="2" s="1"/>
  <c r="S52" i="2"/>
  <c r="T52" i="2" s="1"/>
  <c r="O52" i="2"/>
  <c r="P52" i="2" s="1"/>
  <c r="Y52" i="2" l="1"/>
  <c r="W52" i="2" s="1"/>
  <c r="X52" i="2" s="1"/>
  <c r="K53" i="2"/>
  <c r="L53" i="2"/>
  <c r="J53" i="2"/>
  <c r="M53" i="2" l="1"/>
  <c r="G53" i="2" l="1"/>
  <c r="H53" i="2" s="1"/>
  <c r="Z54" i="2"/>
  <c r="N53" i="2" l="1"/>
  <c r="I53" i="2"/>
  <c r="U53" i="2" s="1"/>
  <c r="V53" i="2"/>
  <c r="S53" i="2" l="1"/>
  <c r="T53" i="2" s="1"/>
  <c r="L54" i="2" s="1"/>
  <c r="Q53" i="2"/>
  <c r="R53" i="2" s="1"/>
  <c r="O53" i="2"/>
  <c r="P53" i="2" s="1"/>
  <c r="J54" i="2" s="1"/>
  <c r="Y53" i="2" l="1"/>
  <c r="W53" i="2" s="1"/>
  <c r="X53" i="2" s="1"/>
  <c r="K54" i="2"/>
  <c r="M54" i="2" s="1"/>
  <c r="Z55" i="2" l="1"/>
  <c r="G54" i="2"/>
  <c r="H54" i="2" s="1"/>
  <c r="N54" i="2" l="1"/>
  <c r="I54" i="2"/>
  <c r="U54" i="2" s="1"/>
  <c r="V54" i="2"/>
  <c r="S54" i="2" l="1"/>
  <c r="T54" i="2" s="1"/>
  <c r="O54" i="2"/>
  <c r="P54" i="2" s="1"/>
  <c r="Q54" i="2"/>
  <c r="R54" i="2" s="1"/>
  <c r="Y54" i="2" l="1"/>
  <c r="W54" i="2" s="1"/>
  <c r="X54" i="2" s="1"/>
  <c r="L55" i="2"/>
  <c r="J55" i="2"/>
  <c r="K55" i="2"/>
  <c r="M55" i="2" l="1"/>
  <c r="Z56" i="2" l="1"/>
  <c r="G55" i="2"/>
  <c r="H55" i="2" s="1"/>
  <c r="N55" i="2" l="1"/>
  <c r="V55" i="2"/>
  <c r="I55" i="2"/>
  <c r="U55" i="2" s="1"/>
  <c r="S55" i="2" l="1"/>
  <c r="T55" i="2" s="1"/>
  <c r="O55" i="2"/>
  <c r="P55" i="2" s="1"/>
  <c r="Q55" i="2"/>
  <c r="R55" i="2" s="1"/>
  <c r="L56" i="2" l="1"/>
  <c r="Y55" i="2"/>
  <c r="W55" i="2" s="1"/>
  <c r="X55" i="2" s="1"/>
  <c r="J56" i="2"/>
  <c r="K56" i="2"/>
  <c r="M56" i="2" l="1"/>
  <c r="G56" i="2" l="1"/>
  <c r="H56" i="2" s="1"/>
  <c r="Z57" i="2"/>
  <c r="V56" i="2" l="1"/>
  <c r="I56" i="2"/>
  <c r="U56" i="2" s="1"/>
  <c r="N56" i="2"/>
  <c r="O56" i="2" l="1"/>
  <c r="P56" i="2" s="1"/>
  <c r="Q56" i="2"/>
  <c r="R56" i="2" s="1"/>
  <c r="K57" i="2" s="1"/>
  <c r="S56" i="2"/>
  <c r="T56" i="2" s="1"/>
  <c r="L57" i="2" s="1"/>
  <c r="J57" i="2" l="1"/>
  <c r="M57" i="2" s="1"/>
  <c r="Y56" i="2"/>
  <c r="W56" i="2" s="1"/>
  <c r="X56" i="2" s="1"/>
  <c r="Z58" i="2" l="1"/>
  <c r="G57" i="2"/>
  <c r="H57" i="2" s="1"/>
  <c r="I57" i="2" l="1"/>
  <c r="U57" i="2" s="1"/>
  <c r="V57" i="2"/>
  <c r="N57" i="2"/>
  <c r="S57" i="2" l="1"/>
  <c r="T57" i="2" s="1"/>
  <c r="O57" i="2"/>
  <c r="P57" i="2" s="1"/>
  <c r="Q57" i="2"/>
  <c r="R57" i="2" s="1"/>
  <c r="Y57" i="2" l="1"/>
  <c r="W57" i="2" s="1"/>
  <c r="X57" i="2" s="1"/>
  <c r="L58" i="2"/>
  <c r="J58" i="2"/>
  <c r="K58" i="2"/>
  <c r="M58" i="2" l="1"/>
  <c r="G58" i="2" l="1"/>
  <c r="H58" i="2" s="1"/>
  <c r="Z59" i="2"/>
  <c r="V58" i="2" l="1"/>
  <c r="I58" i="2"/>
  <c r="U58" i="2" s="1"/>
  <c r="N58" i="2"/>
  <c r="S58" i="2" s="1"/>
  <c r="T58" i="2" s="1"/>
  <c r="Q58" i="2" l="1"/>
  <c r="R58" i="2" s="1"/>
  <c r="K59" i="2" s="1"/>
  <c r="O58" i="2"/>
  <c r="P58" i="2" s="1"/>
  <c r="L59" i="2"/>
  <c r="J59" i="2" l="1"/>
  <c r="M59" i="2" s="1"/>
  <c r="Y58" i="2"/>
  <c r="W58" i="2" s="1"/>
  <c r="X58" i="2" s="1"/>
  <c r="G59" i="2" l="1"/>
  <c r="H59" i="2" s="1"/>
  <c r="Z60" i="2"/>
  <c r="I59" i="2" l="1"/>
  <c r="U59" i="2" s="1"/>
  <c r="N59" i="2"/>
  <c r="V59" i="2"/>
  <c r="S59" i="2" l="1"/>
  <c r="T59" i="2" s="1"/>
  <c r="L60" i="2" s="1"/>
  <c r="O59" i="2"/>
  <c r="P59" i="2" s="1"/>
  <c r="Q59" i="2"/>
  <c r="R59" i="2" s="1"/>
  <c r="K60" i="2" s="1"/>
  <c r="J60" i="2" l="1"/>
  <c r="M60" i="2" s="1"/>
  <c r="Y59" i="2"/>
  <c r="W59" i="2" s="1"/>
  <c r="X59" i="2" s="1"/>
  <c r="Z61" i="2" l="1"/>
  <c r="G60" i="2"/>
  <c r="H60" i="2" s="1"/>
  <c r="N60" i="2" l="1"/>
  <c r="I60" i="2"/>
  <c r="U60" i="2" s="1"/>
  <c r="V60" i="2"/>
  <c r="Q60" i="2" l="1"/>
  <c r="R60" i="2" s="1"/>
  <c r="K61" i="2" s="1"/>
  <c r="S60" i="2"/>
  <c r="T60" i="2" s="1"/>
  <c r="O60" i="2"/>
  <c r="P60" i="2" s="1"/>
  <c r="J61" i="2" s="1"/>
  <c r="Y60" i="2" l="1"/>
  <c r="W60" i="2" s="1"/>
  <c r="X60" i="2" s="1"/>
  <c r="L61" i="2"/>
  <c r="M61" i="2" s="1"/>
  <c r="G61" i="2" l="1"/>
  <c r="H61" i="2" s="1"/>
  <c r="Z62" i="2"/>
  <c r="I61" i="2" l="1"/>
  <c r="U61" i="2" s="1"/>
  <c r="N61" i="2"/>
  <c r="V61" i="2"/>
  <c r="O61" i="2" l="1"/>
  <c r="P61" i="2" s="1"/>
  <c r="J62" i="2" s="1"/>
  <c r="Q61" i="2"/>
  <c r="R61" i="2" s="1"/>
  <c r="K62" i="2" s="1"/>
  <c r="S61" i="2"/>
  <c r="T61" i="2" s="1"/>
  <c r="L62" i="2" l="1"/>
  <c r="M62" i="2" s="1"/>
  <c r="Y61" i="2"/>
  <c r="W61" i="2" s="1"/>
  <c r="X61" i="2" s="1"/>
  <c r="G62" i="2" l="1"/>
  <c r="H62" i="2" s="1"/>
  <c r="Z63" i="2"/>
  <c r="I62" i="2" l="1"/>
  <c r="U62" i="2" s="1"/>
  <c r="N62" i="2"/>
  <c r="V62" i="2"/>
  <c r="S62" i="2" l="1"/>
  <c r="T62" i="2" s="1"/>
  <c r="O62" i="2"/>
  <c r="P62" i="2" s="1"/>
  <c r="J63" i="2" s="1"/>
  <c r="Q62" i="2"/>
  <c r="R62" i="2" s="1"/>
  <c r="L63" i="2" l="1"/>
  <c r="Y62" i="2"/>
  <c r="W62" i="2" s="1"/>
  <c r="X62" i="2" s="1"/>
  <c r="K63" i="2"/>
  <c r="M63" i="2" l="1"/>
  <c r="G63" i="2" l="1"/>
  <c r="H63" i="2" s="1"/>
  <c r="Z64" i="2"/>
  <c r="I63" i="2" l="1"/>
  <c r="U63" i="2" s="1"/>
  <c r="N63" i="2"/>
  <c r="Q63" i="2" s="1"/>
  <c r="R63" i="2" s="1"/>
  <c r="K64" i="2" s="1"/>
  <c r="V63" i="2"/>
  <c r="S63" i="2" l="1"/>
  <c r="T63" i="2" s="1"/>
  <c r="O63" i="2"/>
  <c r="P63" i="2" s="1"/>
  <c r="J64" i="2" s="1"/>
  <c r="L64" i="2" l="1"/>
  <c r="M64" i="2" s="1"/>
  <c r="Y63" i="2"/>
  <c r="W63" i="2" s="1"/>
  <c r="X63" i="2" s="1"/>
  <c r="Z65" i="2" l="1"/>
  <c r="G64" i="2"/>
  <c r="H64" i="2" s="1"/>
  <c r="N64" i="2" l="1"/>
  <c r="O64" i="2" s="1"/>
  <c r="P64" i="2" s="1"/>
  <c r="J65" i="2" s="1"/>
  <c r="I64" i="2"/>
  <c r="U64" i="2" s="1"/>
  <c r="V64" i="2"/>
  <c r="S64" i="2" l="1"/>
  <c r="T64" i="2" s="1"/>
  <c r="Q64" i="2"/>
  <c r="R64" i="2" s="1"/>
  <c r="K65" i="2" s="1"/>
  <c r="L65" i="2" l="1"/>
  <c r="M65" i="2" s="1"/>
  <c r="Y64" i="2"/>
  <c r="W64" i="2" s="1"/>
  <c r="X64" i="2" s="1"/>
  <c r="Z66" i="2" l="1"/>
  <c r="G65" i="2"/>
  <c r="H65" i="2" s="1"/>
  <c r="I65" i="2" l="1"/>
  <c r="U65" i="2" s="1"/>
  <c r="V65" i="2"/>
  <c r="N65" i="2"/>
  <c r="S65" i="2" l="1"/>
  <c r="T65" i="2" s="1"/>
  <c r="O65" i="2"/>
  <c r="P65" i="2" s="1"/>
  <c r="Q65" i="2"/>
  <c r="R65" i="2" s="1"/>
  <c r="K66" i="2" s="1"/>
  <c r="L66" i="2" l="1"/>
  <c r="Y65" i="2"/>
  <c r="W65" i="2" s="1"/>
  <c r="X65" i="2" s="1"/>
  <c r="J66" i="2"/>
  <c r="M66" i="2" l="1"/>
  <c r="G66" i="2" l="1"/>
  <c r="H66" i="2" s="1"/>
  <c r="Z67" i="2"/>
  <c r="V66" i="2" l="1"/>
  <c r="N66" i="2"/>
  <c r="I66" i="2"/>
  <c r="U66" i="2" s="1"/>
  <c r="Q66" i="2" l="1"/>
  <c r="R66" i="2" s="1"/>
  <c r="K67" i="2" s="1"/>
  <c r="S66" i="2"/>
  <c r="T66" i="2" s="1"/>
  <c r="O66" i="2"/>
  <c r="P66" i="2" s="1"/>
  <c r="J67" i="2" s="1"/>
  <c r="L67" i="2" l="1"/>
  <c r="M67" i="2" s="1"/>
  <c r="Y66" i="2"/>
  <c r="W66" i="2" s="1"/>
  <c r="X66" i="2" s="1"/>
  <c r="Z68" i="2" l="1"/>
  <c r="G67" i="2"/>
  <c r="H67" i="2" s="1"/>
  <c r="I67" i="2" s="1"/>
  <c r="U67" i="2" s="1"/>
  <c r="N67" i="2" l="1"/>
  <c r="V67" i="2"/>
  <c r="O67" i="2" l="1"/>
  <c r="P67" i="2" s="1"/>
  <c r="Q67" i="2"/>
  <c r="R67" i="2" s="1"/>
  <c r="K68" i="2" s="1"/>
  <c r="S67" i="2"/>
  <c r="T67" i="2" s="1"/>
  <c r="L68" i="2" s="1"/>
  <c r="J68" i="2" l="1"/>
  <c r="M68" i="2" s="1"/>
  <c r="Y67" i="2"/>
  <c r="W67" i="2" s="1"/>
  <c r="X67" i="2" s="1"/>
  <c r="Z69" i="2" l="1"/>
  <c r="G68" i="2"/>
  <c r="H68" i="2" s="1"/>
  <c r="V68" i="2" l="1"/>
  <c r="N68" i="2"/>
  <c r="I68" i="2"/>
  <c r="U68" i="2" s="1"/>
  <c r="S68" i="2" l="1"/>
  <c r="T68" i="2" s="1"/>
  <c r="O68" i="2"/>
  <c r="P68" i="2" s="1"/>
  <c r="Q68" i="2"/>
  <c r="R68" i="2" s="1"/>
  <c r="K69" i="2" s="1"/>
  <c r="L69" i="2" l="1"/>
  <c r="Y68" i="2"/>
  <c r="W68" i="2" s="1"/>
  <c r="X68" i="2" s="1"/>
  <c r="J69" i="2"/>
  <c r="M69" i="2" l="1"/>
  <c r="G69" i="2" l="1"/>
  <c r="H69" i="2" s="1"/>
  <c r="Z70" i="2"/>
  <c r="V69" i="2" l="1"/>
  <c r="N69" i="2"/>
  <c r="O69" i="2" s="1"/>
  <c r="P69" i="2" s="1"/>
  <c r="I69" i="2"/>
  <c r="U69" i="2" s="1"/>
  <c r="S69" i="2" l="1"/>
  <c r="T69" i="2" s="1"/>
  <c r="Q69" i="2"/>
  <c r="R69" i="2" s="1"/>
  <c r="K70" i="2" s="1"/>
  <c r="J70" i="2"/>
  <c r="L70" i="2" l="1"/>
  <c r="M70" i="2" s="1"/>
  <c r="Y69" i="2"/>
  <c r="W69" i="2" s="1"/>
  <c r="X69" i="2" s="1"/>
  <c r="G70" i="2" l="1"/>
  <c r="H70" i="2" s="1"/>
  <c r="Z71" i="2"/>
  <c r="V70" i="2" l="1"/>
  <c r="I70" i="2"/>
  <c r="U70" i="2" s="1"/>
  <c r="N70" i="2"/>
  <c r="Q70" i="2" l="1"/>
  <c r="R70" i="2" s="1"/>
  <c r="O70" i="2"/>
  <c r="P70" i="2" s="1"/>
  <c r="J71" i="2" s="1"/>
  <c r="S70" i="2"/>
  <c r="T70" i="2" s="1"/>
  <c r="L71" i="2" s="1"/>
  <c r="Y70" i="2" l="1"/>
  <c r="W70" i="2" s="1"/>
  <c r="X70" i="2" s="1"/>
  <c r="K71" i="2"/>
  <c r="M71" i="2" s="1"/>
  <c r="G71" i="2" l="1"/>
  <c r="H71" i="2" s="1"/>
  <c r="Z72" i="2"/>
  <c r="V71" i="2" l="1"/>
  <c r="N71" i="2"/>
  <c r="I71" i="2"/>
  <c r="Q71" i="2" l="1"/>
  <c r="R71" i="2" s="1"/>
  <c r="K72" i="2" s="1"/>
  <c r="S71" i="2"/>
  <c r="T71" i="2" s="1"/>
  <c r="O71" i="2"/>
  <c r="U71" i="2"/>
  <c r="P71" i="2" l="1"/>
  <c r="L72" i="2"/>
  <c r="J72" i="2" l="1"/>
  <c r="M72" i="2" s="1"/>
  <c r="Y71" i="2"/>
  <c r="W71" i="2" s="1"/>
  <c r="X71" i="2" s="1"/>
  <c r="Z73" i="2" l="1"/>
  <c r="G72" i="2"/>
  <c r="H72" i="2" s="1"/>
  <c r="I72" i="2" s="1"/>
  <c r="U72" i="2" s="1"/>
  <c r="N72" i="2" l="1"/>
  <c r="V72" i="2"/>
  <c r="S72" i="2" l="1"/>
  <c r="O72" i="2"/>
  <c r="P72" i="2" s="1"/>
  <c r="J73" i="2" s="1"/>
  <c r="Q72" i="2"/>
  <c r="T72" i="2" l="1"/>
  <c r="R72" i="2"/>
  <c r="K73" i="2" s="1"/>
  <c r="L73" i="2" l="1"/>
  <c r="M73" i="2" s="1"/>
  <c r="Y72" i="2"/>
  <c r="W72" i="2" s="1"/>
  <c r="X72" i="2" s="1"/>
  <c r="Z74" i="2" l="1"/>
  <c r="G73" i="2"/>
  <c r="H73" i="2" s="1"/>
  <c r="N73" i="2" l="1"/>
  <c r="V73" i="2"/>
  <c r="I73" i="2"/>
  <c r="U73" i="2" s="1"/>
  <c r="O73" i="2" l="1"/>
  <c r="P73" i="2" s="1"/>
  <c r="J74" i="2" s="1"/>
  <c r="Q73" i="2"/>
  <c r="R73" i="2" s="1"/>
  <c r="S73" i="2"/>
  <c r="T73" i="2" s="1"/>
  <c r="L74" i="2" s="1"/>
  <c r="K74" i="2" l="1"/>
  <c r="M74" i="2" s="1"/>
  <c r="Y73" i="2"/>
  <c r="W73" i="2" s="1"/>
  <c r="X73" i="2" s="1"/>
  <c r="Z75" i="2" l="1"/>
  <c r="G74" i="2"/>
  <c r="H74" i="2" s="1"/>
  <c r="I74" i="2" l="1"/>
  <c r="U74" i="2" s="1"/>
  <c r="V74" i="2"/>
  <c r="N74" i="2"/>
  <c r="O74" i="2" l="1"/>
  <c r="P74" i="2" s="1"/>
  <c r="J75" i="2" s="1"/>
  <c r="Q74" i="2"/>
  <c r="R74" i="2" s="1"/>
  <c r="K75" i="2" s="1"/>
  <c r="S74" i="2"/>
  <c r="T74" i="2" s="1"/>
  <c r="Y74" i="2" l="1"/>
  <c r="W74" i="2" s="1"/>
  <c r="X74" i="2" s="1"/>
  <c r="L75" i="2"/>
  <c r="M75" i="2" s="1"/>
  <c r="G75" i="2" l="1"/>
  <c r="H75" i="2" s="1"/>
  <c r="Z76" i="2"/>
  <c r="N75" i="2" l="1"/>
  <c r="I75" i="2"/>
  <c r="U75" i="2" s="1"/>
  <c r="V75" i="2"/>
  <c r="S75" i="2" l="1"/>
  <c r="T75" i="2" s="1"/>
  <c r="O75" i="2"/>
  <c r="P75" i="2" s="1"/>
  <c r="J76" i="2" s="1"/>
  <c r="Q75" i="2"/>
  <c r="R75" i="2" s="1"/>
  <c r="K76" i="2" s="1"/>
  <c r="L76" i="2" l="1"/>
  <c r="M76" i="2" s="1"/>
  <c r="Y75" i="2"/>
  <c r="W75" i="2" s="1"/>
  <c r="X75" i="2" s="1"/>
  <c r="Z77" i="2" l="1"/>
  <c r="G76" i="2"/>
  <c r="H76" i="2" s="1"/>
  <c r="I76" i="2" s="1"/>
  <c r="U76" i="2" s="1"/>
  <c r="V76" i="2" l="1"/>
  <c r="N76" i="2"/>
  <c r="O76" i="2" s="1"/>
  <c r="P76" i="2" s="1"/>
  <c r="J77" i="2" s="1"/>
  <c r="Q76" i="2" l="1"/>
  <c r="R76" i="2" s="1"/>
  <c r="K77" i="2" s="1"/>
  <c r="S76" i="2"/>
  <c r="T76" i="2" s="1"/>
  <c r="Y76" i="2" l="1"/>
  <c r="W76" i="2" s="1"/>
  <c r="X76" i="2" s="1"/>
  <c r="L77" i="2"/>
  <c r="M77" i="2" s="1"/>
  <c r="Z78" i="2" l="1"/>
  <c r="G77" i="2"/>
  <c r="H77" i="2" s="1"/>
  <c r="V77" i="2" l="1"/>
  <c r="I77" i="2"/>
  <c r="U77" i="2" s="1"/>
  <c r="N77" i="2"/>
  <c r="O77" i="2" l="1"/>
  <c r="P77" i="2" s="1"/>
  <c r="J78" i="2" s="1"/>
  <c r="S77" i="2"/>
  <c r="T77" i="2" s="1"/>
  <c r="L78" i="2" s="1"/>
  <c r="Q77" i="2"/>
  <c r="R77" i="2" s="1"/>
  <c r="K78" i="2" l="1"/>
  <c r="M78" i="2" s="1"/>
  <c r="Y77" i="2"/>
  <c r="W77" i="2" s="1"/>
  <c r="X77" i="2" s="1"/>
  <c r="Z79" i="2" l="1"/>
  <c r="G78" i="2"/>
  <c r="H78" i="2" s="1"/>
  <c r="I78" i="2" l="1"/>
  <c r="U78" i="2" s="1"/>
  <c r="N78" i="2"/>
  <c r="V78" i="2"/>
  <c r="O78" i="2" l="1"/>
  <c r="P78" i="2" s="1"/>
  <c r="J79" i="2" s="1"/>
  <c r="Q78" i="2"/>
  <c r="R78" i="2" s="1"/>
  <c r="K79" i="2" s="1"/>
  <c r="S78" i="2"/>
  <c r="T78" i="2" s="1"/>
  <c r="L79" i="2" l="1"/>
  <c r="M79" i="2" s="1"/>
  <c r="Y78" i="2"/>
  <c r="W78" i="2" s="1"/>
  <c r="X78" i="2" s="1"/>
  <c r="G79" i="2" l="1"/>
  <c r="H79" i="2" s="1"/>
  <c r="Z80" i="2"/>
  <c r="V79" i="2" l="1"/>
  <c r="I79" i="2"/>
  <c r="U79" i="2" s="1"/>
  <c r="N79" i="2"/>
  <c r="O79" i="2" l="1"/>
  <c r="P79" i="2" s="1"/>
  <c r="J80" i="2" s="1"/>
  <c r="S79" i="2"/>
  <c r="T79" i="2" s="1"/>
  <c r="Q79" i="2"/>
  <c r="R79" i="2" s="1"/>
  <c r="K80" i="2" s="1"/>
  <c r="L80" i="2" l="1"/>
  <c r="M80" i="2" s="1"/>
  <c r="Y79" i="2"/>
  <c r="W79" i="2" s="1"/>
  <c r="X79" i="2" s="1"/>
  <c r="Z81" i="2" l="1"/>
  <c r="G80" i="2"/>
  <c r="H80" i="2" s="1"/>
  <c r="I80" i="2" l="1"/>
  <c r="U80" i="2" s="1"/>
  <c r="N80" i="2"/>
  <c r="V80" i="2"/>
  <c r="Q80" i="2" l="1"/>
  <c r="R80" i="2" s="1"/>
  <c r="K81" i="2" s="1"/>
  <c r="S80" i="2"/>
  <c r="T80" i="2" s="1"/>
  <c r="L81" i="2" s="1"/>
  <c r="O80" i="2"/>
  <c r="P80" i="2" s="1"/>
  <c r="J81" i="2" l="1"/>
  <c r="M81" i="2" s="1"/>
  <c r="Y80" i="2"/>
  <c r="W80" i="2" s="1"/>
  <c r="X80" i="2" s="1"/>
  <c r="G81" i="2" l="1"/>
  <c r="H81" i="2" s="1"/>
  <c r="Z82" i="2"/>
  <c r="N81" i="2" l="1"/>
  <c r="I81" i="2"/>
  <c r="U81" i="2" s="1"/>
  <c r="V81" i="2"/>
  <c r="Q81" i="2" l="1"/>
  <c r="R81" i="2" s="1"/>
  <c r="K82" i="2" s="1"/>
  <c r="S81" i="2"/>
  <c r="T81" i="2" s="1"/>
  <c r="O81" i="2"/>
  <c r="P81" i="2" s="1"/>
  <c r="J82" i="2" s="1"/>
  <c r="L82" i="2" l="1"/>
  <c r="M82" i="2" s="1"/>
  <c r="Y81" i="2"/>
  <c r="W81" i="2" s="1"/>
  <c r="X81" i="2" s="1"/>
  <c r="Z83" i="2" l="1"/>
  <c r="G82" i="2"/>
  <c r="H82" i="2" s="1"/>
  <c r="I82" i="2" l="1"/>
  <c r="U82" i="2" s="1"/>
  <c r="V82" i="2"/>
  <c r="N82" i="2"/>
  <c r="Q82" i="2" l="1"/>
  <c r="R82" i="2" s="1"/>
  <c r="K83" i="2" s="1"/>
  <c r="O82" i="2"/>
  <c r="P82" i="2" s="1"/>
  <c r="S82" i="2"/>
  <c r="T82" i="2" s="1"/>
  <c r="L83" i="2" s="1"/>
  <c r="J83" i="2" l="1"/>
  <c r="M83" i="2" s="1"/>
  <c r="Y82" i="2"/>
  <c r="W82" i="2" s="1"/>
  <c r="X82" i="2" s="1"/>
  <c r="Z84" i="2" l="1"/>
  <c r="G83" i="2"/>
  <c r="H83" i="2" s="1"/>
  <c r="V83" i="2" l="1"/>
  <c r="I83" i="2"/>
  <c r="U83" i="2" s="1"/>
  <c r="N83" i="2"/>
  <c r="Q83" i="2" s="1"/>
  <c r="R83" i="2" s="1"/>
  <c r="K84" i="2" s="1"/>
  <c r="O83" i="2" l="1"/>
  <c r="P83" i="2" s="1"/>
  <c r="S83" i="2"/>
  <c r="T83" i="2" s="1"/>
  <c r="L84" i="2" s="1"/>
  <c r="J84" i="2" l="1"/>
  <c r="M84" i="2" s="1"/>
  <c r="Y83" i="2"/>
  <c r="W83" i="2" s="1"/>
  <c r="X83" i="2" s="1"/>
  <c r="G84" i="2" l="1"/>
  <c r="H84" i="2" s="1"/>
  <c r="N84" i="2" s="1"/>
  <c r="Z85" i="2"/>
  <c r="I84" i="2" l="1"/>
  <c r="U84" i="2" s="1"/>
  <c r="V84" i="2"/>
  <c r="S84" i="2"/>
  <c r="T84" i="2" s="1"/>
  <c r="Q84" i="2"/>
  <c r="R84" i="2" s="1"/>
  <c r="K85" i="2" s="1"/>
  <c r="O84" i="2"/>
  <c r="P84" i="2" s="1"/>
  <c r="J85" i="2" s="1"/>
  <c r="L85" i="2" l="1"/>
  <c r="M85" i="2" s="1"/>
  <c r="Y84" i="2"/>
  <c r="W84" i="2" s="1"/>
  <c r="X84" i="2" s="1"/>
  <c r="Z86" i="2" l="1"/>
  <c r="G85" i="2"/>
  <c r="H85" i="2" s="1"/>
  <c r="V85" i="2" l="1"/>
  <c r="N85" i="2"/>
  <c r="I85" i="2"/>
  <c r="U85" i="2" s="1"/>
  <c r="S85" i="2" l="1"/>
  <c r="T85" i="2" s="1"/>
  <c r="L86" i="2" s="1"/>
  <c r="O85" i="2"/>
  <c r="P85" i="2" s="1"/>
  <c r="Q85" i="2"/>
  <c r="R85" i="2" s="1"/>
  <c r="K86" i="2" s="1"/>
  <c r="Y85" i="2" l="1"/>
  <c r="W85" i="2" s="1"/>
  <c r="X85" i="2" s="1"/>
  <c r="J86" i="2"/>
  <c r="M86" i="2" s="1"/>
  <c r="G86" i="2" l="1"/>
  <c r="H86" i="2" s="1"/>
  <c r="Z87" i="2"/>
  <c r="V86" i="2" l="1"/>
  <c r="I86" i="2"/>
  <c r="U86" i="2" s="1"/>
  <c r="N86" i="2"/>
  <c r="O86" i="2" l="1"/>
  <c r="P86" i="2" s="1"/>
  <c r="S86" i="2"/>
  <c r="T86" i="2" s="1"/>
  <c r="Q86" i="2"/>
  <c r="R86" i="2" s="1"/>
  <c r="J87" i="2" l="1"/>
  <c r="K87" i="2"/>
  <c r="Y86" i="2"/>
  <c r="W86" i="2" s="1"/>
  <c r="X86" i="2" s="1"/>
  <c r="L87" i="2"/>
  <c r="M87" i="2" l="1"/>
  <c r="G87" i="2" l="1"/>
  <c r="H87" i="2" s="1"/>
  <c r="Z88" i="2"/>
  <c r="I87" i="2" l="1"/>
  <c r="U87" i="2" s="1"/>
  <c r="N87" i="2"/>
  <c r="V87" i="2"/>
  <c r="Q87" i="2" l="1"/>
  <c r="R87" i="2" s="1"/>
  <c r="S87" i="2"/>
  <c r="T87" i="2" s="1"/>
  <c r="L88" i="2" s="1"/>
  <c r="O87" i="2"/>
  <c r="P87" i="2" s="1"/>
  <c r="J88" i="2" s="1"/>
  <c r="K88" i="2" l="1"/>
  <c r="M88" i="2" s="1"/>
  <c r="Y87" i="2"/>
  <c r="W87" i="2" s="1"/>
  <c r="X87" i="2" s="1"/>
  <c r="G88" i="2" l="1"/>
  <c r="H88" i="2" s="1"/>
  <c r="Z89" i="2"/>
  <c r="I88" i="2" l="1"/>
  <c r="U88" i="2" s="1"/>
  <c r="N88" i="2"/>
  <c r="V88" i="2"/>
  <c r="Q88" i="2" l="1"/>
  <c r="R88" i="2" s="1"/>
  <c r="K89" i="2" s="1"/>
  <c r="O88" i="2"/>
  <c r="P88" i="2" s="1"/>
  <c r="J89" i="2" s="1"/>
  <c r="S88" i="2"/>
  <c r="T88" i="2" s="1"/>
  <c r="L89" i="2" l="1"/>
  <c r="M89" i="2" s="1"/>
  <c r="Y88" i="2"/>
  <c r="W88" i="2" s="1"/>
  <c r="X88" i="2" s="1"/>
  <c r="G89" i="2" l="1"/>
  <c r="H89" i="2" s="1"/>
  <c r="Z90" i="2"/>
  <c r="V89" i="2" l="1"/>
  <c r="I89" i="2"/>
  <c r="U89" i="2" s="1"/>
  <c r="N89" i="2"/>
  <c r="Q89" i="2" l="1"/>
  <c r="R89" i="2" s="1"/>
  <c r="O89" i="2"/>
  <c r="P89" i="2" s="1"/>
  <c r="S89" i="2"/>
  <c r="T89" i="2" s="1"/>
  <c r="K90" i="2" l="1"/>
  <c r="J90" i="2"/>
  <c r="Y89" i="2"/>
  <c r="W89" i="2" s="1"/>
  <c r="X89" i="2" s="1"/>
  <c r="L90" i="2"/>
  <c r="M90" i="2" l="1"/>
  <c r="Z91" i="2" l="1"/>
  <c r="G90" i="2"/>
  <c r="H90" i="2" s="1"/>
  <c r="I90" i="2" l="1"/>
  <c r="U90" i="2" s="1"/>
  <c r="N90" i="2"/>
  <c r="V90" i="2"/>
  <c r="O90" i="2" l="1"/>
  <c r="P90" i="2" s="1"/>
  <c r="S90" i="2"/>
  <c r="T90" i="2" s="1"/>
  <c r="Q90" i="2"/>
  <c r="R90" i="2" s="1"/>
  <c r="Y90" i="2" l="1"/>
  <c r="W90" i="2" s="1"/>
  <c r="X90" i="2" s="1"/>
  <c r="J91" i="2"/>
  <c r="L91" i="2"/>
  <c r="K91" i="2"/>
  <c r="M91" i="2" l="1"/>
  <c r="Z92" i="2" l="1"/>
  <c r="G91" i="2"/>
  <c r="H91" i="2" s="1"/>
  <c r="N91" i="2" l="1"/>
  <c r="I91" i="2"/>
  <c r="U91" i="2" s="1"/>
  <c r="V91" i="2"/>
  <c r="Q91" i="2" l="1"/>
  <c r="R91" i="2" s="1"/>
  <c r="S91" i="2"/>
  <c r="T91" i="2" s="1"/>
  <c r="O91" i="2"/>
  <c r="P91" i="2" s="1"/>
  <c r="Y91" i="2" l="1"/>
  <c r="W91" i="2" s="1"/>
  <c r="X91" i="2" s="1"/>
  <c r="K92" i="2"/>
  <c r="L92" i="2"/>
  <c r="J92" i="2"/>
  <c r="M92" i="2" l="1"/>
  <c r="G92" i="2" l="1"/>
  <c r="H92" i="2" s="1"/>
  <c r="Z93" i="2"/>
  <c r="N92" i="2" l="1"/>
  <c r="I92" i="2"/>
  <c r="U92" i="2" s="1"/>
  <c r="V92" i="2"/>
  <c r="Q92" i="2" l="1"/>
  <c r="R92" i="2" s="1"/>
  <c r="S92" i="2"/>
  <c r="T92" i="2" s="1"/>
  <c r="O92" i="2"/>
  <c r="P92" i="2" s="1"/>
  <c r="K93" i="2" l="1"/>
  <c r="J93" i="2"/>
  <c r="L93" i="2"/>
  <c r="Y92" i="2"/>
  <c r="W92" i="2" s="1"/>
  <c r="X92" i="2" s="1"/>
  <c r="M93" i="2" l="1"/>
  <c r="G93" i="2" l="1"/>
  <c r="H93" i="2" s="1"/>
  <c r="Z94" i="2"/>
  <c r="I93" i="2" l="1"/>
  <c r="U93" i="2" s="1"/>
  <c r="N93" i="2"/>
  <c r="V93" i="2"/>
  <c r="Q93" i="2" l="1"/>
  <c r="R93" i="2" s="1"/>
  <c r="O93" i="2"/>
  <c r="P93" i="2" s="1"/>
  <c r="J94" i="2" s="1"/>
  <c r="S93" i="2"/>
  <c r="T93" i="2" s="1"/>
  <c r="L94" i="2" s="1"/>
  <c r="K94" i="2" l="1"/>
  <c r="M94" i="2" s="1"/>
  <c r="Y93" i="2"/>
  <c r="W93" i="2" s="1"/>
  <c r="X93" i="2" s="1"/>
  <c r="G94" i="2" l="1"/>
  <c r="H94" i="2" s="1"/>
  <c r="Z95" i="2"/>
  <c r="N94" i="2" l="1"/>
  <c r="V94" i="2"/>
  <c r="I94" i="2"/>
  <c r="U94" i="2" s="1"/>
  <c r="S94" i="2" l="1"/>
  <c r="T94" i="2" s="1"/>
  <c r="O94" i="2"/>
  <c r="P94" i="2" s="1"/>
  <c r="Q94" i="2"/>
  <c r="R94" i="2" s="1"/>
  <c r="L95" i="2" l="1"/>
  <c r="Y94" i="2"/>
  <c r="W94" i="2" s="1"/>
  <c r="X94" i="2" s="1"/>
  <c r="J95" i="2"/>
  <c r="K95" i="2"/>
  <c r="M95" i="2" l="1"/>
  <c r="Z96" i="2" l="1"/>
  <c r="G95" i="2"/>
  <c r="H95" i="2" s="1"/>
  <c r="N95" i="2" l="1"/>
  <c r="I95" i="2"/>
  <c r="U95" i="2" s="1"/>
  <c r="V95" i="2"/>
  <c r="Q95" i="2" l="1"/>
  <c r="R95" i="2" s="1"/>
  <c r="O95" i="2"/>
  <c r="P95" i="2" s="1"/>
  <c r="S95" i="2"/>
  <c r="T95" i="2" s="1"/>
  <c r="Y95" i="2" l="1"/>
  <c r="W95" i="2" s="1"/>
  <c r="X95" i="2" s="1"/>
  <c r="K96" i="2"/>
  <c r="J96" i="2"/>
  <c r="L96" i="2"/>
  <c r="M96" i="2" l="1"/>
  <c r="Z97" i="2" l="1"/>
  <c r="G96" i="2"/>
  <c r="H96" i="2" s="1"/>
  <c r="N96" i="2" l="1"/>
  <c r="I96" i="2"/>
  <c r="U96" i="2" s="1"/>
  <c r="V96" i="2"/>
  <c r="Q96" i="2" l="1"/>
  <c r="R96" i="2" s="1"/>
  <c r="S96" i="2"/>
  <c r="T96" i="2" s="1"/>
  <c r="O96" i="2"/>
  <c r="P96" i="2" s="1"/>
  <c r="K97" i="2" l="1"/>
  <c r="L97" i="2"/>
  <c r="Y96" i="2"/>
  <c r="W96" i="2" s="1"/>
  <c r="X96" i="2" s="1"/>
  <c r="J97" i="2"/>
  <c r="M97" i="2" l="1"/>
  <c r="Z98" i="2" l="1"/>
  <c r="G97" i="2"/>
  <c r="H97" i="2" s="1"/>
  <c r="N97" i="2" l="1"/>
  <c r="I97" i="2"/>
  <c r="U97" i="2" s="1"/>
  <c r="V97" i="2"/>
  <c r="O97" i="2" l="1"/>
  <c r="P97" i="2" s="1"/>
  <c r="Q97" i="2"/>
  <c r="R97" i="2" s="1"/>
  <c r="S97" i="2"/>
  <c r="T97" i="2" s="1"/>
  <c r="K98" i="2" l="1"/>
  <c r="Y97" i="2"/>
  <c r="W97" i="2" s="1"/>
  <c r="X97" i="2" s="1"/>
  <c r="L98" i="2"/>
  <c r="J98" i="2"/>
  <c r="M98" i="2" l="1"/>
  <c r="Z99" i="2" l="1"/>
  <c r="G98" i="2"/>
  <c r="H98" i="2" s="1"/>
  <c r="N98" i="2" l="1"/>
  <c r="I98" i="2"/>
  <c r="U98" i="2" s="1"/>
  <c r="V98" i="2"/>
  <c r="S98" i="2" l="1"/>
  <c r="T98" i="2" s="1"/>
  <c r="Q98" i="2"/>
  <c r="R98" i="2" s="1"/>
  <c r="O98" i="2"/>
  <c r="P98" i="2" s="1"/>
  <c r="L99" i="2" l="1"/>
  <c r="Y98" i="2"/>
  <c r="W98" i="2" s="1"/>
  <c r="X98" i="2" s="1"/>
  <c r="K99" i="2"/>
  <c r="J99" i="2"/>
  <c r="M99" i="2" l="1"/>
  <c r="Z100" i="2" l="1"/>
  <c r="G99" i="2"/>
  <c r="H99" i="2" s="1"/>
  <c r="N99" i="2" l="1"/>
  <c r="I99" i="2"/>
  <c r="U99" i="2" s="1"/>
  <c r="V99" i="2"/>
  <c r="O99" i="2" l="1"/>
  <c r="P99" i="2" s="1"/>
  <c r="S99" i="2"/>
  <c r="T99" i="2" s="1"/>
  <c r="Q99" i="2"/>
  <c r="R99" i="2" s="1"/>
  <c r="J100" i="2" l="1"/>
  <c r="L100" i="2"/>
  <c r="Y99" i="2"/>
  <c r="W99" i="2" s="1"/>
  <c r="X99" i="2" s="1"/>
  <c r="K100" i="2"/>
  <c r="M100" i="2" l="1"/>
  <c r="Z101" i="2" l="1"/>
  <c r="G100" i="2"/>
  <c r="H100" i="2" s="1"/>
  <c r="I100" i="2" l="1"/>
  <c r="U100" i="2" s="1"/>
  <c r="N100" i="2"/>
  <c r="V100" i="2"/>
  <c r="S100" i="2" l="1"/>
  <c r="T100" i="2" s="1"/>
  <c r="O100" i="2"/>
  <c r="P100" i="2" s="1"/>
  <c r="Q100" i="2"/>
  <c r="R100" i="2" s="1"/>
  <c r="Y100" i="2" l="1"/>
  <c r="W100" i="2" s="1"/>
  <c r="X100" i="2" s="1"/>
  <c r="L101" i="2"/>
  <c r="J101" i="2"/>
  <c r="K101" i="2"/>
  <c r="M101" i="2" l="1"/>
  <c r="Z102" i="2" l="1"/>
  <c r="G101" i="2"/>
  <c r="H101" i="2" s="1"/>
  <c r="N101" i="2" l="1"/>
  <c r="I101" i="2"/>
  <c r="U101" i="2" s="1"/>
  <c r="V101" i="2"/>
  <c r="S101" i="2" l="1"/>
  <c r="T101" i="2" s="1"/>
  <c r="O101" i="2"/>
  <c r="P101" i="2" s="1"/>
  <c r="Q101" i="2"/>
  <c r="R101" i="2" s="1"/>
  <c r="L102" i="2" l="1"/>
  <c r="Y101" i="2"/>
  <c r="W101" i="2" s="1"/>
  <c r="X101" i="2" s="1"/>
  <c r="J102" i="2"/>
  <c r="K102" i="2"/>
  <c r="M102" i="2" l="1"/>
  <c r="G102" i="2" l="1"/>
  <c r="H102" i="2" s="1"/>
  <c r="Z103" i="2"/>
  <c r="N102" i="2" l="1"/>
  <c r="I102" i="2"/>
  <c r="U102" i="2" s="1"/>
  <c r="V102" i="2"/>
  <c r="S102" i="2" l="1"/>
  <c r="T102" i="2" s="1"/>
  <c r="O102" i="2"/>
  <c r="P102" i="2" s="1"/>
  <c r="Q102" i="2"/>
  <c r="R102" i="2" s="1"/>
  <c r="Y102" i="2" l="1"/>
  <c r="W102" i="2" s="1"/>
  <c r="X102" i="2" s="1"/>
  <c r="L103" i="2"/>
  <c r="J103" i="2"/>
  <c r="K103" i="2"/>
  <c r="M103" i="2" l="1"/>
  <c r="Z104" i="2" l="1"/>
  <c r="G103" i="2"/>
  <c r="H103" i="2" s="1"/>
  <c r="N103" i="2" l="1"/>
  <c r="I103" i="2"/>
  <c r="U103" i="2" s="1"/>
  <c r="V103" i="2"/>
  <c r="S103" i="2" l="1"/>
  <c r="T103" i="2" s="1"/>
  <c r="Q103" i="2"/>
  <c r="R103" i="2" s="1"/>
  <c r="O103" i="2"/>
  <c r="P103" i="2" s="1"/>
  <c r="J104" i="2" s="1"/>
  <c r="L104" i="2" l="1"/>
  <c r="Y103" i="2"/>
  <c r="W103" i="2" s="1"/>
  <c r="X103" i="2" s="1"/>
  <c r="K104" i="2"/>
  <c r="M104" i="2" l="1"/>
  <c r="Z105" i="2" l="1"/>
  <c r="G104" i="2"/>
  <c r="H104" i="2" s="1"/>
  <c r="N104" i="2" l="1"/>
  <c r="V104" i="2"/>
  <c r="I104" i="2"/>
  <c r="U104" i="2" s="1"/>
  <c r="O104" i="2" l="1"/>
  <c r="P104" i="2" s="1"/>
  <c r="J105" i="2" s="1"/>
  <c r="Q104" i="2"/>
  <c r="R104" i="2" s="1"/>
  <c r="S104" i="2"/>
  <c r="T104" i="2" s="1"/>
  <c r="K105" i="2" l="1"/>
  <c r="Y104" i="2"/>
  <c r="W104" i="2" s="1"/>
  <c r="X104" i="2" s="1"/>
  <c r="L105" i="2"/>
  <c r="M105" i="2" l="1"/>
  <c r="Z106" i="2" l="1"/>
  <c r="G105" i="2"/>
  <c r="H105" i="2" s="1"/>
  <c r="V105" i="2" l="1"/>
  <c r="N105" i="2"/>
  <c r="I105" i="2"/>
  <c r="U105" i="2" s="1"/>
  <c r="S105" i="2" l="1"/>
  <c r="T105" i="2" s="1"/>
  <c r="O105" i="2"/>
  <c r="P105" i="2" s="1"/>
  <c r="Q105" i="2"/>
  <c r="R105" i="2" s="1"/>
  <c r="K106" i="2" s="1"/>
  <c r="L106" i="2" l="1"/>
  <c r="Y105" i="2"/>
  <c r="W105" i="2" s="1"/>
  <c r="X105" i="2" s="1"/>
  <c r="J106" i="2"/>
  <c r="M106" i="2" l="1"/>
  <c r="Z107" i="2" l="1"/>
  <c r="G106" i="2"/>
  <c r="H106" i="2" s="1"/>
  <c r="N106" i="2" l="1"/>
  <c r="I106" i="2"/>
  <c r="U106" i="2" s="1"/>
  <c r="V106" i="2"/>
  <c r="S106" i="2" l="1"/>
  <c r="T106" i="2" s="1"/>
  <c r="O106" i="2"/>
  <c r="P106" i="2" s="1"/>
  <c r="J107" i="2" s="1"/>
  <c r="Q106" i="2"/>
  <c r="R106" i="2" s="1"/>
  <c r="K107" i="2" s="1"/>
  <c r="L107" i="2" l="1"/>
  <c r="M107" i="2" s="1"/>
  <c r="Y106" i="2"/>
  <c r="W106" i="2" s="1"/>
  <c r="X106" i="2" s="1"/>
  <c r="G107" i="2" l="1"/>
  <c r="H107" i="2" s="1"/>
  <c r="Z108" i="2"/>
  <c r="N107" i="2" l="1"/>
  <c r="I107" i="2"/>
  <c r="U107" i="2" s="1"/>
  <c r="V107" i="2"/>
  <c r="S107" i="2" l="1"/>
  <c r="T107" i="2" s="1"/>
  <c r="O107" i="2"/>
  <c r="P107" i="2" s="1"/>
  <c r="J108" i="2" s="1"/>
  <c r="Q107" i="2"/>
  <c r="R107" i="2" s="1"/>
  <c r="L108" i="2" l="1"/>
  <c r="Y107" i="2"/>
  <c r="W107" i="2" s="1"/>
  <c r="X107" i="2" s="1"/>
  <c r="K108" i="2"/>
  <c r="M108" i="2" l="1"/>
  <c r="Z109" i="2" l="1"/>
  <c r="G108" i="2"/>
  <c r="H108" i="2" s="1"/>
  <c r="N108" i="2" l="1"/>
  <c r="I108" i="2"/>
  <c r="U108" i="2" s="1"/>
  <c r="V108" i="2"/>
  <c r="S108" i="2" l="1"/>
  <c r="T108" i="2" s="1"/>
  <c r="O108" i="2"/>
  <c r="P108" i="2" s="1"/>
  <c r="J109" i="2" s="1"/>
  <c r="Q108" i="2"/>
  <c r="R108" i="2" s="1"/>
  <c r="K109" i="2" s="1"/>
  <c r="Y108" i="2" l="1"/>
  <c r="W108" i="2" s="1"/>
  <c r="X108" i="2" s="1"/>
  <c r="L109" i="2"/>
  <c r="M109" i="2" s="1"/>
  <c r="G109" i="2" l="1"/>
  <c r="H109" i="2" s="1"/>
  <c r="Z110" i="2"/>
  <c r="I109" i="2" l="1"/>
  <c r="U109" i="2" s="1"/>
  <c r="N109" i="2"/>
  <c r="V109" i="2"/>
  <c r="S109" i="2" l="1"/>
  <c r="T109" i="2" s="1"/>
  <c r="O109" i="2"/>
  <c r="P109" i="2" s="1"/>
  <c r="J110" i="2" s="1"/>
  <c r="Q109" i="2"/>
  <c r="R109" i="2" s="1"/>
  <c r="L110" i="2" l="1"/>
  <c r="Y109" i="2"/>
  <c r="W109" i="2" s="1"/>
  <c r="X109" i="2" s="1"/>
  <c r="K110" i="2"/>
  <c r="M110" i="2" l="1"/>
  <c r="G110" i="2" l="1"/>
  <c r="H110" i="2" s="1"/>
  <c r="Z111" i="2"/>
  <c r="N110" i="2" l="1"/>
  <c r="I110" i="2"/>
  <c r="U110" i="2" s="1"/>
  <c r="V110" i="2"/>
  <c r="O110" i="2" l="1"/>
  <c r="P110" i="2" s="1"/>
  <c r="J111" i="2" s="1"/>
  <c r="S110" i="2"/>
  <c r="T110" i="2" s="1"/>
  <c r="L111" i="2" s="1"/>
  <c r="Q110" i="2"/>
  <c r="R110" i="2" s="1"/>
  <c r="K111" i="2" l="1"/>
  <c r="M111" i="2" s="1"/>
  <c r="Y110" i="2"/>
  <c r="W110" i="2" s="1"/>
  <c r="X110" i="2" s="1"/>
  <c r="Z112" i="2" l="1"/>
  <c r="G111" i="2"/>
  <c r="H111" i="2" s="1"/>
  <c r="N111" i="2" l="1"/>
  <c r="I111" i="2"/>
  <c r="U111" i="2" s="1"/>
  <c r="V111" i="2"/>
  <c r="O111" i="2" l="1"/>
  <c r="P111" i="2" s="1"/>
  <c r="J112" i="2" s="1"/>
  <c r="Q111" i="2"/>
  <c r="R111" i="2" s="1"/>
  <c r="S111" i="2"/>
  <c r="T111" i="2" s="1"/>
  <c r="L112" i="2" s="1"/>
  <c r="Y111" i="2" l="1"/>
  <c r="W111" i="2" s="1"/>
  <c r="X111" i="2" s="1"/>
  <c r="K112" i="2"/>
  <c r="M112" i="2" s="1"/>
  <c r="G112" i="2" l="1"/>
  <c r="H112" i="2" s="1"/>
  <c r="Z113" i="2"/>
  <c r="V112" i="2" l="1"/>
  <c r="I112" i="2"/>
  <c r="U112" i="2" s="1"/>
  <c r="N112" i="2"/>
  <c r="Q112" i="2" l="1"/>
  <c r="R112" i="2" s="1"/>
  <c r="O112" i="2"/>
  <c r="P112" i="2" s="1"/>
  <c r="J113" i="2" s="1"/>
  <c r="S112" i="2"/>
  <c r="T112" i="2" s="1"/>
  <c r="L113" i="2" s="1"/>
  <c r="K113" i="2" l="1"/>
  <c r="M113" i="2" s="1"/>
  <c r="Y112" i="2"/>
  <c r="W112" i="2" s="1"/>
  <c r="X112" i="2" s="1"/>
  <c r="G113" i="2" l="1"/>
  <c r="H113" i="2" s="1"/>
  <c r="V113" i="2" s="1"/>
  <c r="Z114" i="2"/>
  <c r="N113" i="2" l="1"/>
  <c r="S113" i="2" s="1"/>
  <c r="T113" i="2" s="1"/>
  <c r="I113" i="2"/>
  <c r="U113" i="2" s="1"/>
  <c r="O113" i="2" l="1"/>
  <c r="P113" i="2" s="1"/>
  <c r="Q113" i="2"/>
  <c r="R113" i="2" s="1"/>
  <c r="K114" i="2" s="1"/>
  <c r="L114" i="2"/>
  <c r="J114" i="2" l="1"/>
  <c r="M114" i="2" s="1"/>
  <c r="Y113" i="2"/>
  <c r="W113" i="2" s="1"/>
  <c r="X113" i="2" s="1"/>
  <c r="Z115" i="2" l="1"/>
  <c r="G114" i="2"/>
  <c r="H114" i="2" s="1"/>
  <c r="I114" i="2" s="1"/>
  <c r="U114" i="2" s="1"/>
  <c r="N114" i="2" l="1"/>
  <c r="V114" i="2"/>
  <c r="S114" i="2" l="1"/>
  <c r="T114" i="2" s="1"/>
  <c r="Q114" i="2"/>
  <c r="R114" i="2" s="1"/>
  <c r="K115" i="2" s="1"/>
  <c r="O114" i="2"/>
  <c r="P114" i="2" s="1"/>
  <c r="J115" i="2" s="1"/>
  <c r="L115" i="2" l="1"/>
  <c r="M115" i="2" s="1"/>
  <c r="Y114" i="2"/>
  <c r="W114" i="2" s="1"/>
  <c r="X114" i="2" s="1"/>
  <c r="Z116" i="2" l="1"/>
  <c r="G115" i="2"/>
  <c r="H115" i="2" s="1"/>
  <c r="V115" i="2" l="1"/>
  <c r="N115" i="2"/>
  <c r="S115" i="2" s="1"/>
  <c r="T115" i="2" s="1"/>
  <c r="L116" i="2" s="1"/>
  <c r="I115" i="2"/>
  <c r="U115" i="2" s="1"/>
  <c r="Q115" i="2" l="1"/>
  <c r="R115" i="2" s="1"/>
  <c r="O115" i="2"/>
  <c r="P115" i="2" s="1"/>
  <c r="J116" i="2" s="1"/>
  <c r="K116" i="2" l="1"/>
  <c r="M116" i="2" s="1"/>
  <c r="Y115" i="2"/>
  <c r="W115" i="2" s="1"/>
  <c r="X115" i="2" s="1"/>
  <c r="Z117" i="2" l="1"/>
  <c r="G116" i="2"/>
  <c r="H116" i="2" s="1"/>
  <c r="N116" i="2" l="1"/>
  <c r="V116" i="2"/>
  <c r="I116" i="2"/>
  <c r="U116" i="2" s="1"/>
  <c r="Q116" i="2" l="1"/>
  <c r="R116" i="2" s="1"/>
  <c r="K117" i="2" s="1"/>
  <c r="S116" i="2"/>
  <c r="T116" i="2" s="1"/>
  <c r="O116" i="2"/>
  <c r="P116" i="2" s="1"/>
  <c r="J117" i="2" s="1"/>
  <c r="L117" i="2" l="1"/>
  <c r="M117" i="2" s="1"/>
  <c r="Y116" i="2"/>
  <c r="W116" i="2" s="1"/>
  <c r="X116" i="2" s="1"/>
  <c r="Z118" i="2" l="1"/>
  <c r="G117" i="2"/>
  <c r="H117" i="2" s="1"/>
  <c r="I117" i="2" l="1"/>
  <c r="U117" i="2" s="1"/>
  <c r="V117" i="2"/>
  <c r="N117" i="2"/>
  <c r="S117" i="2" l="1"/>
  <c r="T117" i="2" s="1"/>
  <c r="L118" i="2" s="1"/>
  <c r="O117" i="2"/>
  <c r="P117" i="2" s="1"/>
  <c r="J118" i="2" s="1"/>
  <c r="Q117" i="2"/>
  <c r="R117" i="2" s="1"/>
  <c r="K118" i="2" l="1"/>
  <c r="M118" i="2" s="1"/>
  <c r="Y117" i="2"/>
  <c r="W117" i="2" s="1"/>
  <c r="X117" i="2" s="1"/>
  <c r="Z119" i="2" l="1"/>
  <c r="A131" i="2" s="1"/>
  <c r="G118" i="2"/>
  <c r="H118" i="2" s="1"/>
  <c r="I118" i="2" l="1"/>
  <c r="U118" i="2" s="1"/>
  <c r="N118" i="2"/>
  <c r="O118" i="2" s="1"/>
  <c r="P118" i="2" s="1"/>
  <c r="J119" i="2" s="1"/>
  <c r="V118" i="2"/>
  <c r="Q118" i="2" l="1"/>
  <c r="R118" i="2" s="1"/>
  <c r="S118" i="2"/>
  <c r="T118" i="2" s="1"/>
  <c r="L119" i="2" s="1"/>
  <c r="K119" i="2" l="1"/>
  <c r="M119" i="2" s="1"/>
  <c r="G119" i="2" s="1"/>
  <c r="Y118" i="2"/>
  <c r="W118" i="2" s="1"/>
  <c r="X118" i="2" s="1"/>
  <c r="A124" i="2" l="1"/>
  <c r="H119" i="2"/>
  <c r="V119" i="2" l="1"/>
  <c r="A129" i="2"/>
  <c r="I119" i="2"/>
  <c r="U119" i="2" s="1"/>
  <c r="N119" i="2"/>
  <c r="A130" i="2" l="1"/>
  <c r="O119" i="2"/>
  <c r="S119" i="2"/>
  <c r="Q119" i="2"/>
  <c r="R119" i="2" s="1"/>
  <c r="T119" i="2" l="1"/>
  <c r="A128" i="2" s="1"/>
  <c r="A127" i="2"/>
  <c r="P119" i="2"/>
  <c r="N127" i="2" l="1"/>
  <c r="O127" i="2" s="1"/>
  <c r="N126" i="2"/>
  <c r="O126" i="2" s="1"/>
  <c r="A126" i="2"/>
  <c r="Y119" i="2"/>
  <c r="W119" i="2" s="1"/>
  <c r="N125" i="2" l="1"/>
  <c r="O125" i="2" s="1"/>
  <c r="X119" i="2"/>
  <c r="A123" i="2"/>
  <c r="L1" i="3" l="1"/>
  <c r="M1" i="3" s="1"/>
  <c r="L2" i="3"/>
  <c r="L3" i="3" l="1"/>
  <c r="M2" i="3" s="1"/>
  <c r="M3" i="3" s="1"/>
  <c r="M4" i="3" l="1"/>
  <c r="M5" i="3" s="1"/>
  <c r="M6" i="3" s="1"/>
  <c r="M7" i="3" s="1"/>
  <c r="N1" i="3" a="1"/>
  <c r="N1" i="3" s="1"/>
  <c r="C48" i="3"/>
  <c r="G48" i="3"/>
  <c r="E48" i="3"/>
  <c r="D48" i="3"/>
  <c r="F48" i="3"/>
  <c r="H48" i="3"/>
  <c r="N8" i="3"/>
  <c r="N7" i="3"/>
  <c r="N6" i="3"/>
  <c r="N5" i="3"/>
  <c r="N4" i="3"/>
  <c r="N3" i="3"/>
  <c r="N2" i="3"/>
  <c r="H12" i="3"/>
  <c r="F4" i="3"/>
  <c r="I4" i="3"/>
  <c r="E6" i="3"/>
  <c r="B15" i="3"/>
  <c r="C23" i="3"/>
  <c r="I15" i="3"/>
  <c r="C20" i="3"/>
  <c r="H10" i="3"/>
  <c r="B10" i="3"/>
  <c r="H17" i="3"/>
  <c r="H18" i="3"/>
  <c r="F15" i="3"/>
  <c r="F20" i="3"/>
  <c r="H5" i="3"/>
  <c r="D12" i="3"/>
  <c r="C14" i="3"/>
  <c r="D4" i="3"/>
  <c r="D7" i="3"/>
  <c r="H6" i="3"/>
  <c r="F17" i="3"/>
  <c r="E15" i="3"/>
  <c r="F19" i="3"/>
  <c r="E14" i="3"/>
  <c r="H15" i="3"/>
  <c r="F11" i="3"/>
  <c r="E21" i="3"/>
  <c r="G9" i="3"/>
  <c r="G23" i="3"/>
  <c r="E9" i="3"/>
  <c r="C13" i="3"/>
  <c r="H21" i="3"/>
  <c r="D19" i="3"/>
  <c r="C12" i="3"/>
  <c r="B11" i="3"/>
  <c r="F9" i="3"/>
  <c r="I13" i="3"/>
  <c r="F5" i="3"/>
  <c r="B22" i="3"/>
  <c r="C21" i="3"/>
  <c r="F16" i="3"/>
  <c r="I17" i="3"/>
  <c r="E22" i="3"/>
  <c r="C8" i="3"/>
  <c r="D11" i="3"/>
  <c r="I19" i="3"/>
  <c r="G20" i="3"/>
  <c r="D23" i="3"/>
  <c r="G5" i="3"/>
  <c r="D16" i="3"/>
  <c r="H8" i="3"/>
  <c r="F6" i="3"/>
  <c r="F13" i="3"/>
  <c r="D21" i="3"/>
  <c r="E13" i="3"/>
  <c r="H20" i="3"/>
  <c r="D13" i="3"/>
  <c r="C16" i="3"/>
  <c r="I20" i="3"/>
  <c r="B5" i="3"/>
  <c r="D9" i="3"/>
  <c r="C9" i="3"/>
  <c r="C11" i="3"/>
  <c r="I8" i="3"/>
  <c r="B12" i="3"/>
  <c r="B23" i="3"/>
  <c r="B4" i="3"/>
  <c r="I21" i="3"/>
  <c r="H4" i="3"/>
  <c r="E11" i="3"/>
  <c r="F21" i="3"/>
  <c r="D18" i="3"/>
  <c r="B8" i="3"/>
  <c r="I18" i="3"/>
  <c r="B17" i="3"/>
  <c r="F12" i="3"/>
  <c r="E12" i="3"/>
  <c r="C4" i="3"/>
  <c r="B7" i="3"/>
  <c r="B16" i="3"/>
  <c r="I6" i="3"/>
  <c r="I22" i="3"/>
  <c r="H19" i="3"/>
  <c r="B6" i="3"/>
  <c r="F18" i="3"/>
  <c r="E7" i="3"/>
  <c r="B9" i="3"/>
  <c r="I23" i="3"/>
  <c r="H14" i="3"/>
  <c r="E20" i="3"/>
  <c r="H11" i="3"/>
  <c r="F7" i="3"/>
  <c r="G18" i="3"/>
  <c r="E18" i="3"/>
  <c r="C10" i="3"/>
  <c r="I5" i="3"/>
  <c r="I12" i="3"/>
  <c r="E8" i="3"/>
  <c r="B13" i="3"/>
  <c r="C22" i="3"/>
  <c r="G16" i="3"/>
  <c r="G10" i="3"/>
  <c r="B20" i="3"/>
  <c r="I10" i="3"/>
  <c r="C6" i="3"/>
  <c r="F8" i="3"/>
  <c r="I9" i="3"/>
  <c r="B19" i="3"/>
  <c r="H22" i="3"/>
  <c r="E19" i="3"/>
  <c r="E10" i="3"/>
  <c r="C17" i="3"/>
  <c r="C19" i="3"/>
  <c r="D10" i="3"/>
  <c r="B14" i="3"/>
  <c r="G11" i="3"/>
  <c r="H7" i="3"/>
  <c r="D15" i="3"/>
  <c r="G13" i="3"/>
  <c r="I11" i="3"/>
  <c r="F23" i="3"/>
  <c r="H13" i="3"/>
  <c r="C18" i="3"/>
  <c r="G6" i="3"/>
  <c r="E5" i="3"/>
  <c r="D5" i="3"/>
  <c r="F22" i="3"/>
  <c r="G15" i="3"/>
  <c r="F10" i="3"/>
  <c r="H23" i="3"/>
  <c r="I14" i="3"/>
  <c r="C5" i="3"/>
  <c r="G17" i="3"/>
  <c r="G22" i="3"/>
  <c r="C7" i="3"/>
  <c r="G21" i="3"/>
  <c r="G12" i="3"/>
  <c r="I7" i="3"/>
  <c r="D14" i="3"/>
  <c r="G4" i="3"/>
  <c r="H9" i="3"/>
  <c r="D8" i="3"/>
  <c r="B18" i="3"/>
  <c r="I16" i="3"/>
  <c r="D6" i="3"/>
  <c r="H16" i="3"/>
  <c r="D17" i="3"/>
  <c r="G19" i="3"/>
  <c r="G14" i="3"/>
  <c r="E23" i="3"/>
  <c r="B21" i="3"/>
  <c r="E17" i="3"/>
  <c r="G8" i="3"/>
  <c r="C15" i="3"/>
  <c r="F14" i="3"/>
  <c r="E16" i="3"/>
  <c r="D20" i="3"/>
  <c r="D22" i="3"/>
  <c r="G7" i="3"/>
  <c r="E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<sst xmlns="http://schemas.openxmlformats.org/spreadsheetml/2006/main" count="316" uniqueCount="117">
  <si>
    <t xml:space="preserve">Табличная модель системы массового обслуживания с 3 серверами и ограничением времени ожидания </t>
  </si>
  <si>
    <t>Начало</t>
  </si>
  <si>
    <t>Конец</t>
  </si>
  <si>
    <t>Уйти если ожидание больше</t>
  </si>
  <si>
    <t>мин</t>
  </si>
  <si>
    <t>вероят ность</t>
  </si>
  <si>
    <t>нижняя</t>
  </si>
  <si>
    <t>верхняя</t>
  </si>
  <si>
    <t>время</t>
  </si>
  <si>
    <t>граница</t>
  </si>
  <si>
    <t>сервиса</t>
  </si>
  <si>
    <t>(мин)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</si>
  <si>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</si>
  <si>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</si>
  <si>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</si>
  <si>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</si>
  <si>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</si>
  <si>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</si>
  <si>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</si>
  <si>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</si>
  <si>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</si>
  <si>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</si>
  <si>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</si>
  <si>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</si>
  <si>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</si>
  <si>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</si>
  <si>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</si>
  <si>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</si>
  <si>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</si>
  <si>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</si>
  <si>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</si>
  <si>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</si>
  <si>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</si>
  <si>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1 факт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</si>
  <si>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</si>
  <si>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</si>
  <si>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</si>
  <si>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</si>
  <si>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</si>
  <si>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</si>
  <si>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</si>
  <si>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</si>
  <si>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</si>
  <si>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</si>
  <si>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</si>
  <si>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</si>
  <si>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</si>
  <si>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</si>
  <si>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</si>
  <si>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</si>
  <si>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</si>
  <si>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</si>
  <si>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</si>
  <si>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</si>
  <si>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</si>
  <si>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</si>
  <si>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</si>
  <si>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отказами)</t>
  </si>
  <si>
    <t>Эксперимент1  по модели с 3 серверами и 1 очередью(100)</t>
  </si>
  <si>
    <t>счетчик прогонов:</t>
  </si>
  <si>
    <t>№       экспе-римента</t>
  </si>
  <si>
    <t>среднее время пребывания в системе</t>
  </si>
  <si>
    <t>среднее время обслуживания</t>
  </si>
  <si>
    <t>количество потерянных заявок на обслуживание</t>
  </si>
  <si>
    <t>коэффи-циент полезной загрузки сервера 1</t>
  </si>
  <si>
    <t>коэффи-циент полезной загрузки сервера 2</t>
  </si>
  <si>
    <t>коэффи-циент полезной загрузки сервера 3</t>
  </si>
  <si>
    <t>макс. размер очереди</t>
  </si>
  <si>
    <t>длитель-ность обслужи-вания клиентов</t>
  </si>
  <si>
    <t>Среднее значение пребывания в системе</t>
  </si>
  <si>
    <t>Общее время работы системы</t>
  </si>
  <si>
    <t>Среднее время в очереди на обслуживание</t>
  </si>
  <si>
    <t>занят</t>
  </si>
  <si>
    <t>простой</t>
  </si>
  <si>
    <t>Коэффициенты полезной загрузки  для 3 серверов</t>
  </si>
  <si>
    <t>коэффициент полезной загрузки для сервера 1</t>
  </si>
  <si>
    <t>коэффициент полезной загрузки для сервера 2</t>
  </si>
  <si>
    <t>коэффициент полезной загрузки для сервера 3</t>
  </si>
  <si>
    <t>количество потерянных клиентов</t>
  </si>
  <si>
    <t>доля потерянных клиентов</t>
  </si>
  <si>
    <t>максимальный размер очереди</t>
  </si>
  <si>
    <t>сред.время обслуживания</t>
  </si>
  <si>
    <t>Итог</t>
  </si>
  <si>
    <t>ST</t>
  </si>
  <si>
    <t>IAT</t>
  </si>
  <si>
    <t>случайное между 1 и 3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</si>
  <si>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</si>
  <si>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</si>
  <si>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</si>
  <si>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</si>
  <si>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</si>
  <si>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</si>
  <si>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</si>
  <si>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</si>
  <si>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</si>
  <si>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</si>
  <si>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</si>
  <si>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</si>
  <si>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</si>
  <si>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Среднее время обслуживания</t>
  </si>
  <si>
    <t>коэф. Полезной нагрузки сервера 1</t>
  </si>
  <si>
    <t>коэф. Полезной нагрузки сервера 2</t>
  </si>
  <si>
    <t>коэф. Полезной нагрузки сервера 3</t>
  </si>
  <si>
    <t>Карман</t>
  </si>
  <si>
    <t>Еще</t>
  </si>
  <si>
    <t>Частота</t>
  </si>
  <si>
    <t>Интегральный %</t>
  </si>
  <si>
    <t>минимум</t>
  </si>
  <si>
    <t>Наибольший(2)</t>
  </si>
  <si>
    <t>Наименьший(2)</t>
  </si>
  <si>
    <t>кол-во потерянных клиентов</t>
  </si>
  <si>
    <t>Данные для частотной гистограммы для характеристики "Среднее время пребывания"</t>
  </si>
  <si>
    <t>&gt;49</t>
  </si>
  <si>
    <t>максимум</t>
  </si>
  <si>
    <t>среднене</t>
  </si>
  <si>
    <t>renegat = 4</t>
  </si>
  <si>
    <t>renegat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</si>
</sst>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:mm;@"/>
    <numFmt numFmtId="165" formatCode="[$-F400]h:mm:ss\ AM/PM"/>
  </numFmts>
  <fonts count="1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name val="Arial Unicode MS"/>
    </font>
    <font>
      <b/>
      <sz val="11"/>
      <color rgb="FF00B05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19" borderId="18" applyNumberFormat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20" fontId="3" fillId="0" borderId="2" xfId="0" applyNumberFormat="1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4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4" fillId="3" borderId="6" xfId="0" applyFont="1" applyFill="1" applyBorder="1" applyAlignment="1" applyProtection="1">
      <alignment horizontal="center"/>
      <protection locked="0"/>
    </xf>
    <xf numFmtId="20" fontId="3" fillId="0" borderId="5" xfId="0" applyNumberFormat="1" applyFont="1" applyBorder="1" applyAlignment="1" applyProtection="1">
      <alignment horizontal="left"/>
      <protection locked="0"/>
    </xf>
    <xf numFmtId="0" fontId="0" fillId="0" borderId="7" xfId="0" applyBorder="1"/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center"/>
      <protection locked="0"/>
    </xf>
    <xf numFmtId="0" fontId="1" fillId="4" borderId="11" xfId="1" applyFill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Alignment="1">
      <alignment horizontal="center"/>
    </xf>
    <xf numFmtId="0" fontId="5" fillId="4" borderId="12" xfId="0" applyFont="1" applyFill="1" applyBorder="1" applyAlignment="1" applyProtection="1">
      <alignment horizontal="center"/>
      <protection locked="0"/>
    </xf>
    <xf numFmtId="0" fontId="1" fillId="4" borderId="13" xfId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20" fontId="6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20" fontId="6" fillId="0" borderId="0" xfId="0" applyNumberFormat="1" applyFont="1" applyAlignment="1" applyProtection="1">
      <alignment horizontal="center"/>
      <protection locked="0"/>
    </xf>
    <xf numFmtId="20" fontId="6" fillId="0" borderId="0" xfId="0" applyNumberFormat="1" applyFont="1" applyAlignment="1" applyProtection="1">
      <alignment horizontal="centerContinuous"/>
      <protection locked="0"/>
    </xf>
    <xf numFmtId="0" fontId="6" fillId="0" borderId="0" xfId="0" applyFont="1" applyProtection="1"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5" borderId="14" xfId="0" applyFont="1" applyFill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64" fontId="0" fillId="0" borderId="0" xfId="0" applyNumberFormat="1"/>
    <xf numFmtId="164" fontId="4" fillId="3" borderId="4" xfId="0" applyNumberFormat="1" applyFont="1" applyFill="1" applyBorder="1" applyAlignment="1" applyProtection="1">
      <alignment horizontal="center"/>
      <protection locked="0"/>
    </xf>
    <xf numFmtId="164" fontId="4" fillId="3" borderId="6" xfId="0" applyNumberFormat="1" applyFont="1" applyFill="1" applyBorder="1" applyAlignment="1" applyProtection="1">
      <alignment horizontal="center"/>
      <protection locked="0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164" fontId="0" fillId="12" borderId="0" xfId="0" applyNumberFormat="1" applyFill="1"/>
    <xf numFmtId="0" fontId="8" fillId="0" borderId="0" xfId="0" applyFont="1"/>
    <xf numFmtId="164" fontId="8" fillId="13" borderId="0" xfId="0" applyNumberFormat="1" applyFont="1" applyFill="1"/>
    <xf numFmtId="164" fontId="8" fillId="0" borderId="0" xfId="0" applyNumberFormat="1" applyFont="1"/>
    <xf numFmtId="2" fontId="0" fillId="0" borderId="0" xfId="0" applyNumberFormat="1"/>
    <xf numFmtId="2" fontId="8" fillId="14" borderId="0" xfId="0" applyNumberFormat="1" applyFont="1" applyFill="1"/>
    <xf numFmtId="2" fontId="0" fillId="15" borderId="0" xfId="0" applyNumberFormat="1" applyFill="1"/>
    <xf numFmtId="2" fontId="0" fillId="16" borderId="0" xfId="0" applyNumberFormat="1" applyFill="1"/>
    <xf numFmtId="0" fontId="8" fillId="6" borderId="0" xfId="0" applyFont="1" applyFill="1"/>
    <xf numFmtId="0" fontId="9" fillId="17" borderId="0" xfId="0" applyFont="1" applyFill="1"/>
    <xf numFmtId="0" fontId="9" fillId="18" borderId="0" xfId="0" applyFont="1" applyFill="1"/>
    <xf numFmtId="0" fontId="10" fillId="0" borderId="0" xfId="0" applyFont="1"/>
    <xf numFmtId="165" fontId="0" fillId="0" borderId="0" xfId="0" applyNumberFormat="1"/>
    <xf numFmtId="0" fontId="2" fillId="0" borderId="17" xfId="0" applyFont="1" applyBorder="1" applyAlignment="1">
      <alignment horizontal="centerContinuous"/>
    </xf>
    <xf numFmtId="10" fontId="0" fillId="0" borderId="0" xfId="0" applyNumberFormat="1"/>
    <xf numFmtId="165" fontId="8" fillId="0" borderId="0" xfId="0" applyNumberFormat="1" applyFont="1"/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4" borderId="18" xfId="2" applyFont="1" applyFill="1" applyAlignment="1">
      <alignment horizontal="center" vertical="center" wrapText="1"/>
    </xf>
    <xf numFmtId="0" fontId="7" fillId="20" borderId="18" xfId="2" applyFont="1" applyFill="1" applyAlignment="1">
      <alignment horizontal="center" vertical="center" wrapText="1"/>
    </xf>
    <xf numFmtId="0" fontId="7" fillId="7" borderId="18" xfId="2" applyFont="1" applyFill="1" applyAlignment="1">
      <alignment horizontal="center" vertical="center" wrapText="1"/>
    </xf>
    <xf numFmtId="0" fontId="7" fillId="8" borderId="18" xfId="2" applyFont="1" applyFill="1" applyAlignment="1">
      <alignment horizontal="center" vertical="center" wrapText="1"/>
    </xf>
    <xf numFmtId="0" fontId="7" fillId="9" borderId="18" xfId="2" applyFont="1" applyFill="1" applyAlignment="1">
      <alignment horizontal="center" vertical="center" wrapText="1"/>
    </xf>
    <xf numFmtId="0" fontId="7" fillId="10" borderId="18" xfId="2" applyFont="1" applyFill="1" applyAlignment="1">
      <alignment horizontal="center" vertical="center" wrapText="1"/>
    </xf>
    <xf numFmtId="0" fontId="7" fillId="11" borderId="18" xfId="2" applyFont="1" applyFill="1" applyAlignment="1">
      <alignment horizontal="center" vertical="center" wrapText="1"/>
    </xf>
    <xf numFmtId="0" fontId="0" fillId="0" borderId="14" xfId="0" applyBorder="1"/>
    <xf numFmtId="0" fontId="2" fillId="0" borderId="17" xfId="0" applyFont="1" applyBorder="1" applyAlignment="1">
      <alignment horizontal="center"/>
    </xf>
    <xf numFmtId="10" fontId="0" fillId="0" borderId="14" xfId="0" applyNumberFormat="1" applyBorder="1"/>
    <xf numFmtId="1" fontId="0" fillId="0" borderId="0" xfId="0" applyNumberFormat="1"/>
    <xf numFmtId="0" fontId="7" fillId="0" borderId="19" xfId="0" applyFont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7" fillId="11" borderId="19" xfId="0" applyFont="1" applyFill="1" applyBorder="1" applyAlignment="1">
      <alignment horizontal="center" vertical="center" wrapText="1"/>
    </xf>
    <xf numFmtId="0" fontId="0" fillId="21" borderId="0" xfId="0" applyFill="1"/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</cellXfs>
  <cellStyles count="3">
    <cellStyle name="20% — акцент6" xfId="1" builtinId="50"/>
    <cellStyle name="Вывод" xfId="2" builtinId="21"/>
    <cellStyle name="Обычный" xfId="0" builtinId="0"/>
  </cellStyles>
  <dxfs count="23">
    <dxf>
      <numFmt numFmtId="165" formatCode="[$-F400]h:mm:ss\ AM/PM"/>
    </dxf>
    <dxf>
      <numFmt numFmtId="2" formatCode="0.00"/>
    </dxf>
    <dxf>
      <numFmt numFmtId="2" formatCode="0.00"/>
    </dxf>
    <dxf>
      <numFmt numFmtId="2" formatCode="0.00"/>
    </dxf>
    <dxf>
      <numFmt numFmtId="165" formatCode="[$-F400]h:mm:ss\ AM/PM"/>
    </dxf>
    <dxf>
      <numFmt numFmtId="165" formatCode="[$-F400]h:mm:ss\ AM/PM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[$-F400]h:mm:ss\ AM/PM"/>
    </dxf>
    <dxf>
      <numFmt numFmtId="165" formatCode="[$-F400]h:mm:ss\ AM/P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Стиль сводной таблицы 1" table="0" count="0" xr9:uid="{B486ED51-88F5-4507-BE16-A9338153A5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коэф. полезной нагрузки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эксперимент!$B$78:$D$78</c:f>
              <c:numCache>
                <c:formatCode>General</c:formatCode>
                <c:ptCount val="3"/>
                <c:pt idx="0">
                  <c:v>0.39629629629629903</c:v>
                </c:pt>
                <c:pt idx="1">
                  <c:v>0.41111111111111143</c:v>
                </c:pt>
                <c:pt idx="2">
                  <c:v>0.4018518518518448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2-48DB-846D-591F4797900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эксперимент!$B$79:$D$79</c:f>
              <c:numCache>
                <c:formatCode>General</c:formatCode>
                <c:ptCount val="3"/>
                <c:pt idx="0">
                  <c:v>0.32962962962962905</c:v>
                </c:pt>
                <c:pt idx="1">
                  <c:v>0.32962962962962666</c:v>
                </c:pt>
                <c:pt idx="2">
                  <c:v>0.32592592592592479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2-48DB-846D-591F4797900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эксперимент!$B$80:$D$80</c:f>
              <c:numCache>
                <c:formatCode>General</c:formatCode>
                <c:ptCount val="3"/>
                <c:pt idx="0">
                  <c:v>0.37351851851851869</c:v>
                </c:pt>
                <c:pt idx="1">
                  <c:v>0.36962962962962975</c:v>
                </c:pt>
                <c:pt idx="2">
                  <c:v>0.36009259259259185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2-48DB-846D-591F479790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334491791"/>
        <c:axId val="1334492271"/>
      </c:stockChart>
      <c:catAx>
        <c:axId val="1334491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2271"/>
        <c:crosses val="autoZero"/>
        <c:auto val="1"/>
        <c:lblAlgn val="ctr"/>
        <c:lblOffset val="100"/>
        <c:noMultiLvlLbl val="0"/>
      </c:catAx>
      <c:valAx>
        <c:axId val="1334492271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u="none" strike="noStrike" kern="1200" baseline="0">
                <a:solidFill>
                  <a:sysClr val="windowText" lastClr="000000"/>
                </a:solidFill>
              </a:rPr>
              <a:t>Среднее время пребывания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trendline>
            <c:trendlineType val="poly"/>
            <c:order val="6"/>
            <c:dispRSqr val="1"/>
            <c:dispEq val="0"/>
            <c:trendlineLbl>
              <c:layout>
                <c:manualLayout>
                  <c:x val="-7.1142130482366367E-2"/>
                  <c:y val="-0.27602970950557498"/>
                </c:manualLayout>
              </c:layout>
              <c:numFmt formatCode="General" sourceLinked="0"/>
            </c:trendlineLbl>
          </c:trendline>
          <c:cat>
            <c:strRef>
              <c:f>эксперимент!$A$61:$A$68</c:f>
              <c:strCache>
                <c:ptCount val="8"/>
                <c:pt idx="0">
                  <c:v>0:10:12</c:v>
                </c:pt>
                <c:pt idx="1">
                  <c:v>0:10:34</c:v>
                </c:pt>
                <c:pt idx="2">
                  <c:v>0:10:56</c:v>
                </c:pt>
                <c:pt idx="3">
                  <c:v>0:11:18</c:v>
                </c:pt>
                <c:pt idx="4">
                  <c:v>0:11:40</c:v>
                </c:pt>
                <c:pt idx="5">
                  <c:v>0:12:01</c:v>
                </c:pt>
                <c:pt idx="6">
                  <c:v>0:12:23</c:v>
                </c:pt>
                <c:pt idx="7">
                  <c:v>Еще</c:v>
                </c:pt>
              </c:strCache>
            </c:strRef>
          </c:cat>
          <c:val>
            <c:numRef>
              <c:f>эксперимент!$B$61:$B$68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8-4BFA-88D2-ABD67976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805359"/>
        <c:axId val="282805839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эксперимент!$A$61:$A$68</c:f>
              <c:strCache>
                <c:ptCount val="8"/>
                <c:pt idx="0">
                  <c:v>0:10:12</c:v>
                </c:pt>
                <c:pt idx="1">
                  <c:v>0:10:34</c:v>
                </c:pt>
                <c:pt idx="2">
                  <c:v>0:10:56</c:v>
                </c:pt>
                <c:pt idx="3">
                  <c:v>0:11:18</c:v>
                </c:pt>
                <c:pt idx="4">
                  <c:v>0:11:40</c:v>
                </c:pt>
                <c:pt idx="5">
                  <c:v>0:12:01</c:v>
                </c:pt>
                <c:pt idx="6">
                  <c:v>0:12:23</c:v>
                </c:pt>
                <c:pt idx="7">
                  <c:v>Еще</c:v>
                </c:pt>
              </c:strCache>
            </c:strRef>
          </c:cat>
          <c:val>
            <c:numRef>
              <c:f>эксперимент!$C$61:$C$68</c:f>
              <c:numCache>
                <c:formatCode>0.00%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0.35</c:v>
                </c:pt>
                <c:pt idx="3">
                  <c:v>0.7</c:v>
                </c:pt>
                <c:pt idx="4">
                  <c:v>0.8</c:v>
                </c:pt>
                <c:pt idx="5">
                  <c:v>0.85</c:v>
                </c:pt>
                <c:pt idx="6">
                  <c:v>0.95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18-4BFA-88D2-ABD67976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130719"/>
        <c:axId val="282806319"/>
      </c:lineChart>
      <c:catAx>
        <c:axId val="282805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805839"/>
        <c:crosses val="autoZero"/>
        <c:auto val="1"/>
        <c:lblAlgn val="ctr"/>
        <c:lblOffset val="100"/>
        <c:noMultiLvlLbl val="0"/>
      </c:catAx>
      <c:valAx>
        <c:axId val="282805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2805359"/>
        <c:crosses val="autoZero"/>
        <c:crossBetween val="between"/>
        <c:majorUnit val="2"/>
      </c:valAx>
      <c:valAx>
        <c:axId val="2828063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73130719"/>
        <c:crosses val="max"/>
        <c:crossBetween val="between"/>
      </c:valAx>
      <c:catAx>
        <c:axId val="127313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2806319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kern="1200" baseline="0">
                <a:solidFill>
                  <a:sysClr val="windowText" lastClr="000000"/>
                </a:solidFill>
              </a:rPr>
              <a:t>Кол-во потерянных заявок</a:t>
            </a:r>
          </a:p>
        </c:rich>
      </c:tx>
      <c:layout>
        <c:manualLayout>
          <c:xMode val="edge"/>
          <c:yMode val="edge"/>
          <c:x val="0.31185409164896294"/>
          <c:y val="4.937350081446838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эксперимент!$A$51:$A$55</c:f>
              <c:strCache>
                <c:ptCount val="5"/>
                <c:pt idx="0">
                  <c:v>38</c:v>
                </c:pt>
                <c:pt idx="1">
                  <c:v>42</c:v>
                </c:pt>
                <c:pt idx="2">
                  <c:v>45</c:v>
                </c:pt>
                <c:pt idx="3">
                  <c:v>49</c:v>
                </c:pt>
                <c:pt idx="4">
                  <c:v>&gt;49</c:v>
                </c:pt>
              </c:strCache>
            </c:strRef>
          </c:cat>
          <c:val>
            <c:numRef>
              <c:f>эксперимент!$B$51:$B$55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7-4669-A4E3-1C653DE0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045471"/>
        <c:axId val="1274044991"/>
      </c:barChart>
      <c:catAx>
        <c:axId val="1274045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4044991"/>
        <c:crosses val="autoZero"/>
        <c:auto val="1"/>
        <c:lblAlgn val="ctr"/>
        <c:lblOffset val="100"/>
        <c:noMultiLvlLbl val="0"/>
      </c:catAx>
      <c:valAx>
        <c:axId val="1274044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045471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коэф. полезной нагрузки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tockChart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эксперимент!$B$114:$D$114</c:f>
              <c:numCache>
                <c:formatCode>General</c:formatCode>
                <c:ptCount val="3"/>
                <c:pt idx="0">
                  <c:v>0.4092592592592581</c:v>
                </c:pt>
                <c:pt idx="1">
                  <c:v>0.41481481481481336</c:v>
                </c:pt>
                <c:pt idx="2">
                  <c:v>0.41111111111111143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B38-AF3A-066315868A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эксперимент!$B$115:$D$115</c:f>
              <c:numCache>
                <c:formatCode>General</c:formatCode>
                <c:ptCount val="3"/>
                <c:pt idx="0">
                  <c:v>0.35000000000000142</c:v>
                </c:pt>
                <c:pt idx="1">
                  <c:v>0.34814814814815048</c:v>
                </c:pt>
                <c:pt idx="2">
                  <c:v>0.3481481481481481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B38-AF3A-066315868AC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эксперимент!$B$116:$D$116</c:f>
              <c:numCache>
                <c:formatCode>General</c:formatCode>
                <c:ptCount val="3"/>
                <c:pt idx="0">
                  <c:v>0.38203703703703573</c:v>
                </c:pt>
                <c:pt idx="1">
                  <c:v>0.37574074074074032</c:v>
                </c:pt>
                <c:pt idx="2">
                  <c:v>0.37231481481481421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B38-AF3A-066315868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334491791"/>
        <c:axId val="1334492271"/>
      </c:stockChart>
      <c:catAx>
        <c:axId val="1334491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2271"/>
        <c:crosses val="autoZero"/>
        <c:auto val="1"/>
        <c:lblAlgn val="ctr"/>
        <c:lblOffset val="100"/>
        <c:noMultiLvlLbl val="0"/>
      </c:catAx>
      <c:valAx>
        <c:axId val="1334492271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490790</xdr:colOff>
      <xdr:row>70</xdr:row>
      <xdr:rowOff>134704</xdr:rowOff>
    </xdr:from>
    <xdr:to>
      <xdr:col>8</xdr:col>
      <xdr:colOff>865676</xdr:colOff>
      <xdr:row>85</xdr:row>
      <xdr:rowOff>183369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83B344F-DAE8-40B2-D763-FC0CCB291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59</xdr:row>
      <xdr:rowOff>22167</xdr:rowOff>
    </xdr:from>
    <xdr:to>
      <xdr:col>8</xdr:col>
      <xdr:colOff>757844</xdr:colOff>
      <xdr:row>68</xdr:row>
      <xdr:rowOff>172489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5FB126-7855-CFDE-D980-ABA5C82A7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813996</xdr:colOff>
      <xdr:row>48</xdr:row>
      <xdr:rowOff>75752</xdr:rowOff>
    </xdr:from>
    <xdr:to>
      <xdr:col>8</xdr:col>
      <xdr:colOff>813997</xdr:colOff>
      <xdr:row>58</xdr:row>
      <xdr:rowOff>65442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27A05E6-ABE5-DED6-2942-691F89667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654425</xdr:colOff>
      <xdr:row>111</xdr:row>
      <xdr:rowOff>143435</xdr:rowOff>
    </xdr:from>
    <xdr:to>
      <xdr:col>8</xdr:col>
      <xdr:colOff>1029951</xdr:colOff>
      <xdr:row>127</xdr:row>
      <xdr:rowOff>12806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5D379C8-1EEE-4F42-9373-7BA308C77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78C6E-B7A4-4EF9-A42F-713444A8847D}" name="Таблица1" displayName="Таблица1" ref="A27:I48" totalsRowCount="1" headerRowDxfId="22" headerRowCellStyle="Вывод">
  <autoFilter ref="A27:I47" xr:uid="{26B78C6E-B7A4-4EF9-A42F-713444A8847D}"/>
  <tableColumns count="9">
    <tableColumn id="1" xr3:uid="{F9542E4F-3DAC-4F62-A9CF-4CAC209CC66A}" name="№       экспе-римента" totalsRowLabel="Итог"/>
    <tableColumn id="2" xr3:uid="{2CB8E313-7027-4872-A1E8-0CD4BF563122}" name="среднее время пребывания в системе" totalsRowFunction="average" dataDxfId="21" totalsRowDxfId="20"/>
    <tableColumn id="3" xr3:uid="{4EA48DBA-7199-4D36-B784-DF3301C2403B}" name="среднее время обслуживания" totalsRowFunction="average" dataDxfId="19" totalsRowDxfId="18"/>
    <tableColumn id="4" xr3:uid="{EC3DB2A6-5020-48B2-B31A-698E10E404D8}" name="количество потерянных заявок на обслуживание" totalsRowFunction="max" dataDxfId="17"/>
    <tableColumn id="5" xr3:uid="{46795051-CC9A-4D7C-8A86-90035B358C47}" name="коэффи-циент полезной загрузки сервера 1" totalsRowFunction="average" dataDxfId="16" totalsRowDxfId="15"/>
    <tableColumn id="6" xr3:uid="{E98A7D76-61DF-4060-AB8A-D06FA7F59A74}" name="коэффи-циент полезной загрузки сервера 2" totalsRowFunction="average" dataDxfId="14" totalsRowDxfId="13"/>
    <tableColumn id="7" xr3:uid="{2A548D8A-D832-4CA6-8921-7C9A1E90B7B8}" name="коэффи-циент полезной загрузки сервера 3" totalsRowFunction="average" dataDxfId="12" totalsRowDxfId="11"/>
    <tableColumn id="8" xr3:uid="{8E220DA0-0D63-4C71-A4BD-E01EE7943812}" name="макс. размер очереди" totalsRowFunction="max"/>
    <tableColumn id="9" xr3:uid="{4A947790-7383-43B8-B0E6-D3C295C4E08B}" name="длитель-ность обслужи-вания клиентов" totalsRowFunction="max" dataDxfId="10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F96EA-79DF-4E53-9122-7D8AC285E031}" name="Таблица2" displayName="Таблица2" ref="A89:I110" totalsRowCount="1" headerRowDxfId="8" headerRowBorderDxfId="7" tableBorderDxfId="6">
  <autoFilter ref="A89:I109" xr:uid="{30DF96EA-79DF-4E53-9122-7D8AC285E031}"/>
  <tableColumns count="9">
    <tableColumn id="1" xr3:uid="{8EDDCFAE-6721-47E1-83C0-A2F03BD7E3AB}" name="№       экспе-римента" totalsRowLabel="Итог"/>
    <tableColumn id="2" xr3:uid="{1C1FBF2C-5256-421E-97CB-9E39306316E9}" name="среднее время пребывания в системе" totalsRowFunction="average" dataDxfId="5"/>
    <tableColumn id="3" xr3:uid="{EDAF0703-5EDD-4BC6-B875-9F1AA589663F}" name="среднее время обслуживания" totalsRowFunction="average" dataDxfId="4"/>
    <tableColumn id="4" xr3:uid="{54600A85-185B-435C-8A02-8DDE02E38036}" name="количество потерянных заявок на обслуживание" totalsRowFunction="max"/>
    <tableColumn id="5" xr3:uid="{B2D9A1BF-27BC-42F5-ACE8-7AC3499FA9F1}" name="коэффи-циент полезной загрузки сервера 1" totalsRowFunction="average" dataDxfId="3"/>
    <tableColumn id="6" xr3:uid="{E77B2CA8-C103-4CD1-8399-596C8601C7A1}" name="коэффи-циент полезной загрузки сервера 2" totalsRowFunction="average" dataDxfId="2"/>
    <tableColumn id="7" xr3:uid="{199E8C0C-DFDE-46C0-9782-ACDF6DADA76B}" name="коэффи-циент полезной загрузки сервера 3" totalsRowFunction="average" dataDxfId="1"/>
    <tableColumn id="8" xr3:uid="{ACBF3B9F-E34E-414E-A5A6-9F2F026333D5}" name="макс. размер очереди" totalsRowFunction="max"/>
    <tableColumn id="9" xr3:uid="{62FF5FEC-9180-4AB5-B0B5-7B9E250D6EB7}" name="длитель-ность обслужи-вания клиентов" totalsRowFunction="ma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391C-F0E1-48C8-BFE6-AAC59EBAD5F5}">
  <dimension ref="A1:Z132"/>
  <sheetViews>
    <sheetView tabSelected="1" topLeftCell="A5" zoomScale="70" zoomScaleNormal="70" workbookViewId="0">
      <selection activeCell="E3" sqref="E3"/>
    </sheetView>
  </sheetViews>
  <sheetFormatPr defaultRowHeight="14.5"/>
  <sheetData>
    <row r="1" spans="1:26">
      <c r="B1" s="1" t="s">
        <v>0</v>
      </c>
    </row>
    <row r="2" spans="1:26" ht="15" thickBot="1">
      <c r="A2" s="2" t="s">
        <v>1</v>
      </c>
      <c r="B2" s="3"/>
      <c r="C2" s="4" t="s">
        <v>2</v>
      </c>
      <c r="D2" s="5"/>
      <c r="E2" s="6" t="s">
        <v>3</v>
      </c>
      <c r="F2" s="7"/>
      <c r="G2" s="8"/>
    </row>
    <row r="3" spans="1:26">
      <c r="A3" s="44">
        <v>0.375</v>
      </c>
      <c r="B3" s="9"/>
      <c r="C3" s="45">
        <v>0.75</v>
      </c>
      <c r="D3" s="10"/>
      <c r="E3" s="11">
        <v>4</v>
      </c>
      <c r="F3" s="12" t="s">
        <v>4</v>
      </c>
      <c r="G3" s="13"/>
    </row>
    <row r="5" spans="1:26" ht="15" thickBot="1"/>
    <row r="6" spans="1:26">
      <c r="A6" s="92" t="s">
        <v>5</v>
      </c>
      <c r="B6" s="14" t="s">
        <v>6</v>
      </c>
      <c r="C6" s="14" t="s">
        <v>7</v>
      </c>
      <c r="D6" s="15" t="s">
        <v>8</v>
      </c>
    </row>
    <row r="7" spans="1:26">
      <c r="A7" s="93"/>
      <c r="B7" s="16" t="s">
        <v>9</v>
      </c>
      <c r="C7" s="16" t="s">
        <v>9</v>
      </c>
      <c r="D7" s="17" t="s">
        <v>10</v>
      </c>
    </row>
    <row r="8" spans="1:26" ht="15" thickBot="1">
      <c r="A8" s="94"/>
      <c r="B8" s="18"/>
      <c r="C8" s="18"/>
      <c r="D8" s="19" t="s">
        <v>11</v>
      </c>
    </row>
    <row r="9" spans="1:26">
      <c r="A9" s="20">
        <v>0.15</v>
      </c>
      <c r="B9" s="21">
        <v>0</v>
      </c>
      <c r="C9" s="22">
        <f>B9+A9</f>
        <v>0.15</v>
      </c>
      <c r="D9" s="23">
        <v>3</v>
      </c>
    </row>
    <row r="10" spans="1:26">
      <c r="A10" s="20">
        <v>0.25</v>
      </c>
      <c r="B10" s="22">
        <f>C9</f>
        <v>0.15</v>
      </c>
      <c r="C10" s="22">
        <f>B10+A10</f>
        <v>0.4</v>
      </c>
      <c r="D10" s="23">
        <v>7</v>
      </c>
    </row>
    <row r="11" spans="1:26">
      <c r="A11" s="20">
        <v>0.25</v>
      </c>
      <c r="B11" s="22">
        <f>C10</f>
        <v>0.4</v>
      </c>
      <c r="C11" s="22">
        <f>B11+A11</f>
        <v>0.65</v>
      </c>
      <c r="D11" s="23">
        <v>9</v>
      </c>
    </row>
    <row r="12" spans="1:26" ht="15" thickBot="1">
      <c r="A12" s="24">
        <v>0.35</v>
      </c>
      <c r="B12" s="25">
        <f>C11</f>
        <v>0.65</v>
      </c>
      <c r="C12" s="25">
        <f>B12+A12</f>
        <v>1</v>
      </c>
      <c r="D12" s="26">
        <v>17</v>
      </c>
    </row>
    <row r="14" spans="1:26">
      <c r="A14" s="27"/>
      <c r="B14" s="28" t="s">
        <v>12</v>
      </c>
      <c r="C14" s="29"/>
      <c r="D14" s="30" t="s">
        <v>13</v>
      </c>
      <c r="E14" s="29"/>
      <c r="F14" s="29" t="s">
        <v>14</v>
      </c>
      <c r="G14" s="31" t="s">
        <v>15</v>
      </c>
      <c r="H14" s="31"/>
      <c r="I14" s="32" t="s">
        <v>8</v>
      </c>
      <c r="J14" s="31" t="s">
        <v>16</v>
      </c>
      <c r="K14" s="31" t="s">
        <v>17</v>
      </c>
      <c r="L14" s="31" t="s">
        <v>18</v>
      </c>
      <c r="M14" s="32" t="s">
        <v>19</v>
      </c>
      <c r="N14" s="31"/>
      <c r="O14" s="7"/>
      <c r="P14" s="7"/>
      <c r="Q14" s="7"/>
      <c r="R14" s="7"/>
      <c r="S14" s="7"/>
      <c r="T14" s="7"/>
      <c r="U14" s="7" t="s">
        <v>20</v>
      </c>
      <c r="V14" s="7" t="s">
        <v>21</v>
      </c>
      <c r="W14" s="7"/>
      <c r="X14" s="31" t="s">
        <v>8</v>
      </c>
      <c r="Y14" s="31" t="s">
        <v>22</v>
      </c>
      <c r="Z14" s="31" t="s">
        <v>23</v>
      </c>
    </row>
    <row r="15" spans="1:26">
      <c r="A15" s="33" t="s">
        <v>24</v>
      </c>
      <c r="B15" s="34" t="s">
        <v>25</v>
      </c>
      <c r="C15" s="35" t="s">
        <v>26</v>
      </c>
      <c r="D15" s="36" t="s">
        <v>27</v>
      </c>
      <c r="E15" s="35" t="s">
        <v>26</v>
      </c>
      <c r="F15" s="35" t="s">
        <v>28</v>
      </c>
      <c r="G15" s="35" t="s">
        <v>28</v>
      </c>
      <c r="H15" s="35" t="s">
        <v>29</v>
      </c>
      <c r="I15" s="37" t="s">
        <v>30</v>
      </c>
      <c r="J15" s="35" t="s">
        <v>31</v>
      </c>
      <c r="K15" s="35" t="s">
        <v>31</v>
      </c>
      <c r="L15" s="35" t="s">
        <v>31</v>
      </c>
      <c r="M15" s="37" t="s">
        <v>8</v>
      </c>
      <c r="N15" s="35" t="s">
        <v>32</v>
      </c>
      <c r="O15" s="38" t="s">
        <v>33</v>
      </c>
      <c r="P15" s="38"/>
      <c r="Q15" s="38" t="s">
        <v>34</v>
      </c>
      <c r="R15" s="38"/>
      <c r="S15" s="38" t="s">
        <v>35</v>
      </c>
      <c r="T15" s="38"/>
      <c r="U15" s="38" t="s">
        <v>36</v>
      </c>
      <c r="V15" s="38" t="s">
        <v>36</v>
      </c>
      <c r="W15" s="35" t="s">
        <v>37</v>
      </c>
      <c r="X15" s="35" t="s">
        <v>38</v>
      </c>
      <c r="Y15" s="35" t="s">
        <v>8</v>
      </c>
      <c r="Z15" s="35" t="s">
        <v>39</v>
      </c>
    </row>
    <row r="16" spans="1:26">
      <c r="A16" s="33" t="s">
        <v>40</v>
      </c>
      <c r="B16" s="34" t="s">
        <v>41</v>
      </c>
      <c r="C16" s="35" t="s">
        <v>42</v>
      </c>
      <c r="D16" s="36" t="s">
        <v>43</v>
      </c>
      <c r="E16" s="35" t="s">
        <v>38</v>
      </c>
      <c r="F16" s="35" t="s">
        <v>25</v>
      </c>
      <c r="G16" s="35" t="s">
        <v>44</v>
      </c>
      <c r="H16" s="35" t="s">
        <v>45</v>
      </c>
      <c r="I16" s="37" t="s">
        <v>39</v>
      </c>
      <c r="J16" s="35" t="s">
        <v>27</v>
      </c>
      <c r="K16" s="35" t="s">
        <v>27</v>
      </c>
      <c r="L16" s="35" t="s">
        <v>27</v>
      </c>
      <c r="M16" s="37" t="s">
        <v>46</v>
      </c>
      <c r="N16" s="35" t="s">
        <v>47</v>
      </c>
      <c r="O16" s="37" t="s">
        <v>48</v>
      </c>
      <c r="P16" s="37" t="s">
        <v>49</v>
      </c>
      <c r="Q16" s="37" t="s">
        <v>48</v>
      </c>
      <c r="R16" s="37" t="s">
        <v>49</v>
      </c>
      <c r="S16" s="37" t="s">
        <v>48</v>
      </c>
      <c r="T16" s="37" t="s">
        <v>49</v>
      </c>
      <c r="U16" s="37" t="s">
        <v>39</v>
      </c>
      <c r="V16" s="37" t="s">
        <v>39</v>
      </c>
      <c r="W16" s="35" t="s">
        <v>50</v>
      </c>
      <c r="X16" s="35" t="s">
        <v>51</v>
      </c>
      <c r="Y16" s="35" t="s">
        <v>52</v>
      </c>
      <c r="Z16" s="39" t="s">
        <v>53</v>
      </c>
    </row>
    <row r="17" spans="1:26" ht="15" thickBot="1">
      <c r="A17" s="40"/>
      <c r="B17" s="41" t="s">
        <v>11</v>
      </c>
      <c r="C17" s="42" t="s">
        <v>54</v>
      </c>
      <c r="D17" s="41" t="s">
        <v>11</v>
      </c>
      <c r="E17" s="42" t="s">
        <v>51</v>
      </c>
      <c r="F17" s="42" t="s">
        <v>55</v>
      </c>
      <c r="G17" s="42" t="s">
        <v>55</v>
      </c>
      <c r="H17" s="42" t="s">
        <v>56</v>
      </c>
      <c r="I17" s="42" t="s">
        <v>55</v>
      </c>
      <c r="J17" s="42" t="s">
        <v>55</v>
      </c>
      <c r="K17" s="42" t="s">
        <v>55</v>
      </c>
      <c r="L17" s="42" t="s">
        <v>55</v>
      </c>
      <c r="M17" s="42" t="s">
        <v>55</v>
      </c>
      <c r="N17" s="42"/>
      <c r="O17" s="42" t="s">
        <v>55</v>
      </c>
      <c r="P17" s="42" t="s">
        <v>55</v>
      </c>
      <c r="Q17" s="42" t="s">
        <v>55</v>
      </c>
      <c r="R17" s="42" t="s">
        <v>55</v>
      </c>
      <c r="S17" s="42" t="s">
        <v>55</v>
      </c>
      <c r="T17" s="42" t="s">
        <v>55</v>
      </c>
      <c r="U17" s="42" t="s">
        <v>55</v>
      </c>
      <c r="V17" s="42" t="s">
        <v>55</v>
      </c>
      <c r="W17" s="42" t="s">
        <v>55</v>
      </c>
      <c r="X17" s="42" t="s">
        <v>57</v>
      </c>
      <c r="Y17" s="40"/>
      <c r="Z17" s="40"/>
    </row>
    <row r="19" spans="1:26">
      <c r="F19" s="43">
        <f>start</f>
        <v>0.375</v>
      </c>
      <c r="P19" s="43">
        <f>start</f>
        <v>0.375</v>
      </c>
      <c r="Q19" s="43"/>
      <c r="R19" s="43">
        <f>start</f>
        <v>0.375</v>
      </c>
      <c r="S19" s="43"/>
      <c r="T19" s="43">
        <f>start</f>
        <v>0.375</v>
      </c>
      <c r="U19" s="43"/>
      <c r="V19" s="43"/>
      <c r="W19" s="43"/>
      <c r="X19" s="43"/>
      <c r="Y19" s="43"/>
    </row>
    <row r="20" spans="1:26">
      <c r="A20">
        <v>1</v>
      </c>
      <c r="B20">
        <f ca="1">RANDBETWEEN(1,3)</f>
        <v>1</v>
      </c>
      <c r="C20" s="43">
        <f ca="1">B20/(60*24)</f>
        <v>6.9444444444444447E-4</v>
      </c>
      <c r="D20">
        <f t="shared" ref="D20:D51" ca="1" si="0">VLOOKUP(RAND(),SRVT,3)</f>
        <v>7</v>
      </c>
      <c r="E20" s="43">
        <f ca="1">D20/1440</f>
        <v>4.8611111111111112E-3</v>
      </c>
      <c r="F20" s="43">
        <f t="shared" ref="F20:F51" ca="1" si="1">IF(ISTEXT(F19),"",IF(F19+ C20&gt;=closed,"закрыто",F19+C20))</f>
        <v>0.37569444444444444</v>
      </c>
      <c r="G20" s="43">
        <f ca="1">IF(ISTEXT(F20),"",M20-F20)</f>
        <v>0</v>
      </c>
      <c r="H20" t="str">
        <f t="shared" ref="H20:H51" ca="1" si="2">IF(G20&gt;(renegat/1440),"ушел","")</f>
        <v/>
      </c>
      <c r="I20" s="43" t="str">
        <f t="shared" ref="I20:I51" ca="1" si="3">IF(H20="ушел",F20+(renegat/1440),"")</f>
        <v/>
      </c>
      <c r="J20" s="43">
        <f ca="1">MAX(P19,$F20)</f>
        <v>0.37569444444444444</v>
      </c>
      <c r="K20" s="43">
        <f ca="1">MAX(R19,$F20)</f>
        <v>0.37569444444444444</v>
      </c>
      <c r="L20" s="43">
        <f ca="1">MAX(T19,$F20)</f>
        <v>0.37569444444444444</v>
      </c>
      <c r="M20" s="43">
        <f ca="1">IF(ISTEXT(F20),"",MIN(J20:L20))</f>
        <v>0.37569444444444444</v>
      </c>
      <c r="N20">
        <f ca="1">IF(OR(ISTEXT(F20),H20="ушел"),"",MATCH(M20,J20:L20,0))</f>
        <v>1</v>
      </c>
      <c r="O20" s="43">
        <f ca="1">IF($N20=1,M20,"")</f>
        <v>0.37569444444444444</v>
      </c>
      <c r="P20" s="43">
        <f ca="1">IF($N20=1,O20+$E20,P19)</f>
        <v>0.38055555555555554</v>
      </c>
      <c r="Q20" s="43" t="str">
        <f ca="1">IF($N20=2,M20,"")</f>
        <v/>
      </c>
      <c r="R20" s="43">
        <f ca="1">IF($N20=2,Q20+$E20,R19)</f>
        <v>0.375</v>
      </c>
      <c r="S20" s="43" t="str">
        <f ca="1">IF($N20=3,M20,"")</f>
        <v/>
      </c>
      <c r="T20" s="43">
        <f ca="1">IF($N20=3,S20+$E20,T19)</f>
        <v>0.375</v>
      </c>
      <c r="U20" s="43" t="str">
        <f ca="1">IF(H20="ушел",I20-F20,"")</f>
        <v/>
      </c>
      <c r="V20" s="43">
        <f ca="1">IF(H20="ушел","",F20+G20)</f>
        <v>0.37569444444444444</v>
      </c>
      <c r="W20" s="43">
        <f ca="1">Y20-F20</f>
        <v>4.8611111111110938E-3</v>
      </c>
      <c r="X20" s="43">
        <f ca="1">IF(H20="ушел",W20,$E20+G20)</f>
        <v>4.8611111111111112E-3</v>
      </c>
      <c r="Y20" s="43">
        <f ca="1">IF(H20="ушел",I20,CHOOSE(N20,P20,R20,T20))</f>
        <v>0.38055555555555554</v>
      </c>
      <c r="Z20">
        <v>0</v>
      </c>
    </row>
    <row r="21" spans="1:26">
      <c r="A21">
        <f ca="1">IF(ISTEXT(F21),"закрыто",A20+1)</f>
        <v>2</v>
      </c>
      <c r="B21">
        <f t="shared" ref="B21:B84" ca="1" si="4">RANDBETWEEN(1,3)</f>
        <v>1</v>
      </c>
      <c r="C21" s="43">
        <f t="shared" ref="C21:C84" ca="1" si="5">B21/(60*24)</f>
        <v>6.9444444444444447E-4</v>
      </c>
      <c r="D21">
        <f t="shared" ca="1" si="0"/>
        <v>17</v>
      </c>
      <c r="E21" s="43">
        <f t="shared" ref="E21:E84" ca="1" si="6">D21/1440</f>
        <v>1.1805555555555555E-2</v>
      </c>
      <c r="F21" s="43">
        <f t="shared" ca="1" si="1"/>
        <v>0.37638888888888888</v>
      </c>
      <c r="G21" s="43">
        <f ca="1">IF(ISTEXT(F21),"",M21-F21)</f>
        <v>0</v>
      </c>
      <c r="H21" t="str">
        <f t="shared" ca="1" si="2"/>
        <v/>
      </c>
      <c r="I21" s="43" t="str">
        <f t="shared" ca="1" si="3"/>
        <v/>
      </c>
      <c r="J21" s="43">
        <f ca="1">IF(ISTEXT($F21),"",MAX($P$19:P20,$F21))</f>
        <v>0.38055555555555554</v>
      </c>
      <c r="K21" s="43">
        <f ca="1">IF(ISTEXT($F21),"",MAX($R$19:R20,$F21))</f>
        <v>0.37638888888888888</v>
      </c>
      <c r="L21" s="43">
        <f ca="1">IF(ISTEXT($F21),"",MAX(T19:T20,$F21))</f>
        <v>0.37638888888888888</v>
      </c>
      <c r="M21" s="43">
        <f ca="1">IF(ISTEXT(F21),"",MIN(J21:L21))</f>
        <v>0.37638888888888888</v>
      </c>
      <c r="N21">
        <f ca="1">IF(OR(ISTEXT(F21),H21="ушел"),"",MATCH(M21,J21:L21,0))</f>
        <v>2</v>
      </c>
      <c r="O21" s="43" t="str">
        <f t="shared" ref="O21:O84" ca="1" si="7">IF($N21=1,M21,"")</f>
        <v/>
      </c>
      <c r="P21" s="43">
        <f t="shared" ref="P21:P84" ca="1" si="8">IF($N21=1,O21+$E21,P20)</f>
        <v>0.38055555555555554</v>
      </c>
      <c r="Q21" s="43">
        <f t="shared" ref="Q21:Q84" ca="1" si="9">IF($N21=2,M21,"")</f>
        <v>0.37638888888888888</v>
      </c>
      <c r="R21" s="43">
        <f t="shared" ref="R21:R84" ca="1" si="10">IF($N21=2,Q21+$E21,R20)</f>
        <v>0.38819444444444445</v>
      </c>
      <c r="S21" s="43" t="str">
        <f t="shared" ref="S21:S84" ca="1" si="11">IF($N21=3,M21,"")</f>
        <v/>
      </c>
      <c r="T21" s="43">
        <f t="shared" ref="T21:T84" ca="1" si="12">IF($N21=3,S21+$E21,T20)</f>
        <v>0.375</v>
      </c>
      <c r="U21" s="43" t="str">
        <f t="shared" ref="U21:U84" ca="1" si="13">IF(H21="ушел",I21-F21,"")</f>
        <v/>
      </c>
      <c r="V21" s="43">
        <f t="shared" ref="V21:V84" ca="1" si="14">IF(H21="ушел","",F21+G21)</f>
        <v>0.37638888888888888</v>
      </c>
      <c r="W21" s="43">
        <f t="shared" ref="W21:W84" ca="1" si="15">Y21-F21</f>
        <v>1.1805555555555569E-2</v>
      </c>
      <c r="X21" s="43">
        <f t="shared" ref="X21:X84" ca="1" si="16">IF(H21="ушел",W21,$E21+G21)</f>
        <v>1.1805555555555555E-2</v>
      </c>
      <c r="Y21" s="43">
        <f t="shared" ref="Y21:Y84" ca="1" si="17">IF(H21="ушел",I21,CHOOSE(N21,P21,R21,T21))</f>
        <v>0.38819444444444445</v>
      </c>
      <c r="Z21">
        <f ca="1">COUNTIF($M$19:$M20,"&gt;"&amp;$F21)</f>
        <v>0</v>
      </c>
    </row>
    <row r="22" spans="1:26">
      <c r="A22">
        <f t="shared" ref="A22:A85" ca="1" si="18">IF(ISTEXT(F22),"закрыто",A21+1)</f>
        <v>3</v>
      </c>
      <c r="B22">
        <f t="shared" ca="1" si="4"/>
        <v>2</v>
      </c>
      <c r="C22" s="43">
        <f t="shared" ca="1" si="5"/>
        <v>1.3888888888888889E-3</v>
      </c>
      <c r="D22">
        <f t="shared" ca="1" si="0"/>
        <v>9</v>
      </c>
      <c r="E22" s="43">
        <f t="shared" ca="1" si="6"/>
        <v>6.2500000000000003E-3</v>
      </c>
      <c r="F22" s="43">
        <f t="shared" ca="1" si="1"/>
        <v>0.37777777777777777</v>
      </c>
      <c r="G22" s="43">
        <f ca="1">IF(ISTEXT(F22),"",M22-F22)</f>
        <v>0</v>
      </c>
      <c r="H22" t="str">
        <f t="shared" ca="1" si="2"/>
        <v/>
      </c>
      <c r="I22" s="43" t="str">
        <f t="shared" ca="1" si="3"/>
        <v/>
      </c>
      <c r="J22" s="43">
        <f ca="1">IF(ISTEXT($F22),"",MAX($P$19:P21,$F22))</f>
        <v>0.38055555555555554</v>
      </c>
      <c r="K22" s="43">
        <f ca="1">IF(ISTEXT($F22),"",MAX($R$19:R21,$F22))</f>
        <v>0.38819444444444445</v>
      </c>
      <c r="L22" s="43">
        <f ca="1">IF(ISTEXT($F22),"",MAX(T20:T21,$F22))</f>
        <v>0.37777777777777777</v>
      </c>
      <c r="M22" s="43">
        <f ca="1">IF(ISTEXT(F22),"",MIN(J22:L22))</f>
        <v>0.37777777777777777</v>
      </c>
      <c r="N22">
        <f t="shared" ref="N22:N85" ca="1" si="19">IF(OR(ISTEXT(F22),H22="ушел"),"",MATCH(M22,J22:L22,0))</f>
        <v>3</v>
      </c>
      <c r="O22" s="43" t="str">
        <f t="shared" ca="1" si="7"/>
        <v/>
      </c>
      <c r="P22" s="43">
        <f t="shared" ca="1" si="8"/>
        <v>0.38055555555555554</v>
      </c>
      <c r="Q22" s="43" t="str">
        <f t="shared" ca="1" si="9"/>
        <v/>
      </c>
      <c r="R22" s="43">
        <f t="shared" ca="1" si="10"/>
        <v>0.38819444444444445</v>
      </c>
      <c r="S22" s="43">
        <f t="shared" ca="1" si="11"/>
        <v>0.37777777777777777</v>
      </c>
      <c r="T22" s="43">
        <f t="shared" ca="1" si="12"/>
        <v>0.38402777777777775</v>
      </c>
      <c r="U22" s="43" t="str">
        <f t="shared" ca="1" si="13"/>
        <v/>
      </c>
      <c r="V22" s="43">
        <f t="shared" ca="1" si="14"/>
        <v>0.37777777777777777</v>
      </c>
      <c r="W22" s="43">
        <f t="shared" ca="1" si="15"/>
        <v>6.2499999999999778E-3</v>
      </c>
      <c r="X22" s="43">
        <f t="shared" ca="1" si="16"/>
        <v>6.2500000000000003E-3</v>
      </c>
      <c r="Y22" s="43">
        <f t="shared" ca="1" si="17"/>
        <v>0.38402777777777775</v>
      </c>
      <c r="Z22">
        <f ca="1">COUNTIF($M$19:$M21,"&gt;"&amp;$F22)</f>
        <v>0</v>
      </c>
    </row>
    <row r="23" spans="1:26">
      <c r="A23">
        <f t="shared" ca="1" si="18"/>
        <v>4</v>
      </c>
      <c r="B23">
        <f t="shared" ca="1" si="4"/>
        <v>3</v>
      </c>
      <c r="C23" s="43">
        <f t="shared" ca="1" si="5"/>
        <v>2.0833333333333333E-3</v>
      </c>
      <c r="D23">
        <f t="shared" ca="1" si="0"/>
        <v>9</v>
      </c>
      <c r="E23" s="43">
        <f t="shared" ca="1" si="6"/>
        <v>6.2500000000000003E-3</v>
      </c>
      <c r="F23" s="43">
        <f t="shared" ca="1" si="1"/>
        <v>0.37986111111111109</v>
      </c>
      <c r="G23" s="43">
        <f t="shared" ref="G23:G86" ca="1" si="20">IF(ISTEXT(F23),"",M23-F23)</f>
        <v>6.9444444444444198E-4</v>
      </c>
      <c r="H23" t="str">
        <f t="shared" ca="1" si="2"/>
        <v/>
      </c>
      <c r="I23" s="43" t="str">
        <f t="shared" ca="1" si="3"/>
        <v/>
      </c>
      <c r="J23" s="43">
        <f ca="1">IF(ISTEXT($F23),"",MAX($P$19:P22,$F23))</f>
        <v>0.38055555555555554</v>
      </c>
      <c r="K23" s="43">
        <f ca="1">IF(ISTEXT($F23),"",MAX($R$19:R22,$F23))</f>
        <v>0.38819444444444445</v>
      </c>
      <c r="L23" s="43">
        <f t="shared" ref="L23:L86" ca="1" si="21">IF(ISTEXT($F23),"",MAX(T21:T22,$F23))</f>
        <v>0.38402777777777775</v>
      </c>
      <c r="M23" s="43">
        <f t="shared" ref="M23:M86" ca="1" si="22">IF(ISTEXT(F23),"",MIN(J23:L23))</f>
        <v>0.38055555555555554</v>
      </c>
      <c r="N23">
        <f t="shared" ca="1" si="19"/>
        <v>1</v>
      </c>
      <c r="O23" s="43">
        <f t="shared" ca="1" si="7"/>
        <v>0.38055555555555554</v>
      </c>
      <c r="P23" s="43">
        <f t="shared" ca="1" si="8"/>
        <v>0.38680555555555551</v>
      </c>
      <c r="Q23" s="43" t="str">
        <f t="shared" ca="1" si="9"/>
        <v/>
      </c>
      <c r="R23" s="43">
        <f t="shared" ca="1" si="10"/>
        <v>0.38819444444444445</v>
      </c>
      <c r="S23" s="43" t="str">
        <f t="shared" ca="1" si="11"/>
        <v/>
      </c>
      <c r="T23" s="43">
        <f t="shared" ca="1" si="12"/>
        <v>0.38402777777777775</v>
      </c>
      <c r="U23" s="43" t="str">
        <f t="shared" ca="1" si="13"/>
        <v/>
      </c>
      <c r="V23" s="43">
        <f t="shared" ca="1" si="14"/>
        <v>0.38055555555555554</v>
      </c>
      <c r="W23" s="43">
        <f t="shared" ca="1" si="15"/>
        <v>6.9444444444444198E-3</v>
      </c>
      <c r="X23" s="43">
        <f t="shared" ca="1" si="16"/>
        <v>6.9444444444444423E-3</v>
      </c>
      <c r="Y23" s="43">
        <f t="shared" ca="1" si="17"/>
        <v>0.38680555555555551</v>
      </c>
      <c r="Z23">
        <f ca="1">COUNTIF($M$19:$M22,"&gt;"&amp;$F23)</f>
        <v>0</v>
      </c>
    </row>
    <row r="24" spans="1:26">
      <c r="A24">
        <f t="shared" ca="1" si="18"/>
        <v>5</v>
      </c>
      <c r="B24">
        <f t="shared" ca="1" si="4"/>
        <v>3</v>
      </c>
      <c r="C24" s="43">
        <f t="shared" ca="1" si="5"/>
        <v>2.0833333333333333E-3</v>
      </c>
      <c r="D24">
        <f t="shared" ca="1" si="0"/>
        <v>17</v>
      </c>
      <c r="E24" s="43">
        <f t="shared" ca="1" si="6"/>
        <v>1.1805555555555555E-2</v>
      </c>
      <c r="F24" s="43">
        <f t="shared" ca="1" si="1"/>
        <v>0.38194444444444442</v>
      </c>
      <c r="G24" s="43">
        <f t="shared" ca="1" si="20"/>
        <v>2.0833333333333259E-3</v>
      </c>
      <c r="H24" t="str">
        <f t="shared" ca="1" si="2"/>
        <v/>
      </c>
      <c r="I24" s="43" t="str">
        <f t="shared" ca="1" si="3"/>
        <v/>
      </c>
      <c r="J24" s="43">
        <f ca="1">IF(ISTEXT($F24),"",MAX($P$19:P23,$F24))</f>
        <v>0.38680555555555551</v>
      </c>
      <c r="K24" s="43">
        <f ca="1">IF(ISTEXT($F24),"",MAX($R$19:R23,$F24))</f>
        <v>0.38819444444444445</v>
      </c>
      <c r="L24" s="43">
        <f t="shared" ca="1" si="21"/>
        <v>0.38402777777777775</v>
      </c>
      <c r="M24" s="43">
        <f t="shared" ca="1" si="22"/>
        <v>0.38402777777777775</v>
      </c>
      <c r="N24">
        <f t="shared" ca="1" si="19"/>
        <v>3</v>
      </c>
      <c r="O24" s="43" t="str">
        <f t="shared" ca="1" si="7"/>
        <v/>
      </c>
      <c r="P24" s="43">
        <f t="shared" ca="1" si="8"/>
        <v>0.38680555555555551</v>
      </c>
      <c r="Q24" s="43" t="str">
        <f t="shared" ca="1" si="9"/>
        <v/>
      </c>
      <c r="R24" s="43">
        <f t="shared" ca="1" si="10"/>
        <v>0.38819444444444445</v>
      </c>
      <c r="S24" s="43">
        <f t="shared" ca="1" si="11"/>
        <v>0.38402777777777775</v>
      </c>
      <c r="T24" s="43">
        <f t="shared" ca="1" si="12"/>
        <v>0.39583333333333331</v>
      </c>
      <c r="U24" s="43" t="str">
        <f t="shared" ca="1" si="13"/>
        <v/>
      </c>
      <c r="V24" s="43">
        <f t="shared" ca="1" si="14"/>
        <v>0.38402777777777775</v>
      </c>
      <c r="W24" s="43">
        <f t="shared" ca="1" si="15"/>
        <v>1.3888888888888895E-2</v>
      </c>
      <c r="X24" s="43">
        <f t="shared" ca="1" si="16"/>
        <v>1.3888888888888881E-2</v>
      </c>
      <c r="Y24" s="43">
        <f t="shared" ca="1" si="17"/>
        <v>0.39583333333333331</v>
      </c>
      <c r="Z24">
        <f ca="1">COUNTIF($M$19:$M23,"&gt;"&amp;$F24)</f>
        <v>0</v>
      </c>
    </row>
    <row r="25" spans="1:26">
      <c r="A25">
        <f t="shared" ca="1" si="18"/>
        <v>6</v>
      </c>
      <c r="B25">
        <f t="shared" ca="1" si="4"/>
        <v>1</v>
      </c>
      <c r="C25" s="43">
        <f t="shared" ca="1" si="5"/>
        <v>6.9444444444444447E-4</v>
      </c>
      <c r="D25">
        <f t="shared" ca="1" si="0"/>
        <v>7</v>
      </c>
      <c r="E25" s="43">
        <f t="shared" ca="1" si="6"/>
        <v>4.8611111111111112E-3</v>
      </c>
      <c r="F25" s="43">
        <f t="shared" ca="1" si="1"/>
        <v>0.38263888888888886</v>
      </c>
      <c r="G25" s="43">
        <f t="shared" ca="1" si="20"/>
        <v>4.1666666666666519E-3</v>
      </c>
      <c r="H25" t="str">
        <f t="shared" ca="1" si="2"/>
        <v>ушел</v>
      </c>
      <c r="I25" s="43">
        <f t="shared" ca="1" si="3"/>
        <v>0.38541666666666663</v>
      </c>
      <c r="J25" s="43">
        <f ca="1">IF(ISTEXT($F25),"",MAX($P$19:P24,$F25))</f>
        <v>0.38680555555555551</v>
      </c>
      <c r="K25" s="43">
        <f ca="1">IF(ISTEXT($F25),"",MAX($R$19:R24,$F25))</f>
        <v>0.38819444444444445</v>
      </c>
      <c r="L25" s="43">
        <f t="shared" ca="1" si="21"/>
        <v>0.39583333333333331</v>
      </c>
      <c r="M25" s="43">
        <f t="shared" ca="1" si="22"/>
        <v>0.38680555555555551</v>
      </c>
      <c r="N25" t="str">
        <f t="shared" ca="1" si="19"/>
        <v/>
      </c>
      <c r="O25" s="43" t="str">
        <f t="shared" ca="1" si="7"/>
        <v/>
      </c>
      <c r="P25" s="43">
        <f t="shared" ca="1" si="8"/>
        <v>0.38680555555555551</v>
      </c>
      <c r="Q25" s="43" t="str">
        <f t="shared" ca="1" si="9"/>
        <v/>
      </c>
      <c r="R25" s="43">
        <f t="shared" ca="1" si="10"/>
        <v>0.38819444444444445</v>
      </c>
      <c r="S25" s="43" t="str">
        <f t="shared" ca="1" si="11"/>
        <v/>
      </c>
      <c r="T25" s="43">
        <f t="shared" ca="1" si="12"/>
        <v>0.39583333333333331</v>
      </c>
      <c r="U25" s="43">
        <f t="shared" ca="1" si="13"/>
        <v>2.7777777777777679E-3</v>
      </c>
      <c r="V25" s="43" t="str">
        <f t="shared" ca="1" si="14"/>
        <v/>
      </c>
      <c r="W25" s="43">
        <f t="shared" ca="1" si="15"/>
        <v>2.7777777777777679E-3</v>
      </c>
      <c r="X25" s="43">
        <f t="shared" ca="1" si="16"/>
        <v>2.7777777777777679E-3</v>
      </c>
      <c r="Y25" s="43">
        <f t="shared" ca="1" si="17"/>
        <v>0.38541666666666663</v>
      </c>
      <c r="Z25">
        <f ca="1">COUNTIF($M$19:$M24,"&gt;"&amp;$F25)</f>
        <v>1</v>
      </c>
    </row>
    <row r="26" spans="1:26">
      <c r="A26">
        <f t="shared" ca="1" si="18"/>
        <v>7</v>
      </c>
      <c r="B26">
        <f t="shared" ca="1" si="4"/>
        <v>2</v>
      </c>
      <c r="C26" s="43">
        <f t="shared" ca="1" si="5"/>
        <v>1.3888888888888889E-3</v>
      </c>
      <c r="D26">
        <f t="shared" ca="1" si="0"/>
        <v>7</v>
      </c>
      <c r="E26" s="43">
        <f t="shared" ca="1" si="6"/>
        <v>4.8611111111111112E-3</v>
      </c>
      <c r="F26" s="43">
        <f t="shared" ca="1" si="1"/>
        <v>0.38402777777777775</v>
      </c>
      <c r="G26" s="43">
        <f t="shared" ca="1" si="20"/>
        <v>2.7777777777777679E-3</v>
      </c>
      <c r="H26" t="str">
        <f t="shared" ca="1" si="2"/>
        <v/>
      </c>
      <c r="I26" s="43" t="str">
        <f t="shared" ca="1" si="3"/>
        <v/>
      </c>
      <c r="J26" s="43">
        <f ca="1">IF(ISTEXT($F26),"",MAX($P$19:P25,$F26))</f>
        <v>0.38680555555555551</v>
      </c>
      <c r="K26" s="43">
        <f ca="1">IF(ISTEXT($F26),"",MAX($R$19:R25,$F26))</f>
        <v>0.38819444444444445</v>
      </c>
      <c r="L26" s="43">
        <f t="shared" ca="1" si="21"/>
        <v>0.39583333333333331</v>
      </c>
      <c r="M26" s="43">
        <f t="shared" ca="1" si="22"/>
        <v>0.38680555555555551</v>
      </c>
      <c r="N26">
        <f t="shared" ca="1" si="19"/>
        <v>1</v>
      </c>
      <c r="O26" s="43">
        <f t="shared" ca="1" si="7"/>
        <v>0.38680555555555551</v>
      </c>
      <c r="P26" s="43">
        <f t="shared" ca="1" si="8"/>
        <v>0.39166666666666661</v>
      </c>
      <c r="Q26" s="43" t="str">
        <f t="shared" ca="1" si="9"/>
        <v/>
      </c>
      <c r="R26" s="43">
        <f t="shared" ca="1" si="10"/>
        <v>0.38819444444444445</v>
      </c>
      <c r="S26" s="43" t="str">
        <f t="shared" ca="1" si="11"/>
        <v/>
      </c>
      <c r="T26" s="43">
        <f t="shared" ca="1" si="12"/>
        <v>0.39583333333333331</v>
      </c>
      <c r="U26" s="43" t="str">
        <f t="shared" ca="1" si="13"/>
        <v/>
      </c>
      <c r="V26" s="43">
        <f t="shared" ca="1" si="14"/>
        <v>0.38680555555555551</v>
      </c>
      <c r="W26" s="43">
        <f t="shared" ca="1" si="15"/>
        <v>7.6388888888888618E-3</v>
      </c>
      <c r="X26" s="43">
        <f t="shared" ca="1" si="16"/>
        <v>7.6388888888888791E-3</v>
      </c>
      <c r="Y26" s="43">
        <f t="shared" ca="1" si="17"/>
        <v>0.39166666666666661</v>
      </c>
      <c r="Z26">
        <f ca="1">COUNTIF($M$19:$M25,"&gt;"&amp;$F26)</f>
        <v>1</v>
      </c>
    </row>
    <row r="27" spans="1:26">
      <c r="A27">
        <f t="shared" ca="1" si="18"/>
        <v>8</v>
      </c>
      <c r="B27">
        <f t="shared" ca="1" si="4"/>
        <v>2</v>
      </c>
      <c r="C27" s="43">
        <f t="shared" ca="1" si="5"/>
        <v>1.3888888888888889E-3</v>
      </c>
      <c r="D27">
        <f t="shared" ca="1" si="0"/>
        <v>9</v>
      </c>
      <c r="E27" s="43">
        <f t="shared" ca="1" si="6"/>
        <v>6.2500000000000003E-3</v>
      </c>
      <c r="F27" s="43">
        <f t="shared" ca="1" si="1"/>
        <v>0.38541666666666663</v>
      </c>
      <c r="G27" s="43">
        <f t="shared" ca="1" si="20"/>
        <v>2.7777777777778234E-3</v>
      </c>
      <c r="H27" t="str">
        <f t="shared" ca="1" si="2"/>
        <v>ушел</v>
      </c>
      <c r="I27" s="43">
        <f t="shared" ca="1" si="3"/>
        <v>0.3881944444444444</v>
      </c>
      <c r="J27" s="43">
        <f ca="1">IF(ISTEXT($F27),"",MAX($P$19:P26,$F27))</f>
        <v>0.39166666666666661</v>
      </c>
      <c r="K27" s="43">
        <f ca="1">IF(ISTEXT($F27),"",MAX($R$19:R26,$F27))</f>
        <v>0.38819444444444445</v>
      </c>
      <c r="L27" s="43">
        <f t="shared" ca="1" si="21"/>
        <v>0.39583333333333331</v>
      </c>
      <c r="M27" s="43">
        <f t="shared" ca="1" si="22"/>
        <v>0.38819444444444445</v>
      </c>
      <c r="N27" t="str">
        <f t="shared" ca="1" si="19"/>
        <v/>
      </c>
      <c r="O27" s="43" t="str">
        <f t="shared" ca="1" si="7"/>
        <v/>
      </c>
      <c r="P27" s="43">
        <f t="shared" ca="1" si="8"/>
        <v>0.39166666666666661</v>
      </c>
      <c r="Q27" s="43" t="str">
        <f t="shared" ca="1" si="9"/>
        <v/>
      </c>
      <c r="R27" s="43">
        <f t="shared" ca="1" si="10"/>
        <v>0.38819444444444445</v>
      </c>
      <c r="S27" s="43" t="str">
        <f t="shared" ca="1" si="11"/>
        <v/>
      </c>
      <c r="T27" s="43">
        <f t="shared" ca="1" si="12"/>
        <v>0.39583333333333331</v>
      </c>
      <c r="U27" s="43">
        <f t="shared" ca="1" si="13"/>
        <v>2.7777777777777679E-3</v>
      </c>
      <c r="V27" s="43" t="str">
        <f t="shared" ca="1" si="14"/>
        <v/>
      </c>
      <c r="W27" s="43">
        <f t="shared" ca="1" si="15"/>
        <v>2.7777777777777679E-3</v>
      </c>
      <c r="X27" s="43">
        <f t="shared" ca="1" si="16"/>
        <v>2.7777777777777679E-3</v>
      </c>
      <c r="Y27" s="43">
        <f t="shared" ca="1" si="17"/>
        <v>0.3881944444444444</v>
      </c>
      <c r="Z27">
        <f ca="1">COUNTIF($M$19:$M26,"&gt;"&amp;$F27)</f>
        <v>2</v>
      </c>
    </row>
    <row r="28" spans="1:26">
      <c r="A28">
        <f t="shared" ca="1" si="18"/>
        <v>9</v>
      </c>
      <c r="B28">
        <f t="shared" ca="1" si="4"/>
        <v>3</v>
      </c>
      <c r="C28" s="43">
        <f t="shared" ca="1" si="5"/>
        <v>2.0833333333333333E-3</v>
      </c>
      <c r="D28">
        <f t="shared" ca="1" si="0"/>
        <v>17</v>
      </c>
      <c r="E28" s="43">
        <f t="shared" ca="1" si="6"/>
        <v>1.1805555555555555E-2</v>
      </c>
      <c r="F28" s="43">
        <f t="shared" ca="1" si="1"/>
        <v>0.38749999999999996</v>
      </c>
      <c r="G28" s="43">
        <f t="shared" ca="1" si="20"/>
        <v>6.9444444444449749E-4</v>
      </c>
      <c r="H28" t="str">
        <f t="shared" ca="1" si="2"/>
        <v/>
      </c>
      <c r="I28" s="43" t="str">
        <f t="shared" ca="1" si="3"/>
        <v/>
      </c>
      <c r="J28" s="43">
        <f ca="1">IF(ISTEXT($F28),"",MAX($P$19:P27,$F28))</f>
        <v>0.39166666666666661</v>
      </c>
      <c r="K28" s="43">
        <f ca="1">IF(ISTEXT($F28),"",MAX($R$19:R27,$F28))</f>
        <v>0.38819444444444445</v>
      </c>
      <c r="L28" s="43">
        <f t="shared" ca="1" si="21"/>
        <v>0.39583333333333331</v>
      </c>
      <c r="M28" s="43">
        <f t="shared" ca="1" si="22"/>
        <v>0.38819444444444445</v>
      </c>
      <c r="N28">
        <f t="shared" ca="1" si="19"/>
        <v>2</v>
      </c>
      <c r="O28" s="43" t="str">
        <f t="shared" ca="1" si="7"/>
        <v/>
      </c>
      <c r="P28" s="43">
        <f t="shared" ca="1" si="8"/>
        <v>0.39166666666666661</v>
      </c>
      <c r="Q28" s="43">
        <f t="shared" ca="1" si="9"/>
        <v>0.38819444444444445</v>
      </c>
      <c r="R28" s="43">
        <f t="shared" ca="1" si="10"/>
        <v>0.4</v>
      </c>
      <c r="S28" s="43" t="str">
        <f t="shared" ca="1" si="11"/>
        <v/>
      </c>
      <c r="T28" s="43">
        <f t="shared" ca="1" si="12"/>
        <v>0.39583333333333331</v>
      </c>
      <c r="U28" s="43" t="str">
        <f t="shared" ca="1" si="13"/>
        <v/>
      </c>
      <c r="V28" s="43">
        <f t="shared" ca="1" si="14"/>
        <v>0.38819444444444445</v>
      </c>
      <c r="W28" s="43">
        <f t="shared" ca="1" si="15"/>
        <v>1.2500000000000067E-2</v>
      </c>
      <c r="X28" s="43">
        <f t="shared" ca="1" si="16"/>
        <v>1.2500000000000053E-2</v>
      </c>
      <c r="Y28" s="43">
        <f t="shared" ca="1" si="17"/>
        <v>0.4</v>
      </c>
      <c r="Z28">
        <f ca="1">COUNTIF($M$19:$M27,"&gt;"&amp;$F28)</f>
        <v>1</v>
      </c>
    </row>
    <row r="29" spans="1:26">
      <c r="A29">
        <f t="shared" ca="1" si="18"/>
        <v>10</v>
      </c>
      <c r="B29">
        <f t="shared" ca="1" si="4"/>
        <v>2</v>
      </c>
      <c r="C29" s="43">
        <f t="shared" ca="1" si="5"/>
        <v>1.3888888888888889E-3</v>
      </c>
      <c r="D29">
        <f t="shared" ca="1" si="0"/>
        <v>17</v>
      </c>
      <c r="E29" s="43">
        <f t="shared" ca="1" si="6"/>
        <v>1.1805555555555555E-2</v>
      </c>
      <c r="F29" s="43">
        <f t="shared" ca="1" si="1"/>
        <v>0.38888888888888884</v>
      </c>
      <c r="G29" s="43">
        <f t="shared" ca="1" si="20"/>
        <v>2.7777777777777679E-3</v>
      </c>
      <c r="H29" t="str">
        <f t="shared" ca="1" si="2"/>
        <v/>
      </c>
      <c r="I29" s="43" t="str">
        <f t="shared" ca="1" si="3"/>
        <v/>
      </c>
      <c r="J29" s="43">
        <f ca="1">IF(ISTEXT($F29),"",MAX($P$19:P28,$F29))</f>
        <v>0.39166666666666661</v>
      </c>
      <c r="K29" s="43">
        <f ca="1">IF(ISTEXT($F29),"",MAX($R$19:R28,$F29))</f>
        <v>0.4</v>
      </c>
      <c r="L29" s="43">
        <f t="shared" ca="1" si="21"/>
        <v>0.39583333333333331</v>
      </c>
      <c r="M29" s="43">
        <f t="shared" ca="1" si="22"/>
        <v>0.39166666666666661</v>
      </c>
      <c r="N29">
        <f t="shared" ca="1" si="19"/>
        <v>1</v>
      </c>
      <c r="O29" s="43">
        <f t="shared" ca="1" si="7"/>
        <v>0.39166666666666661</v>
      </c>
      <c r="P29" s="43">
        <f t="shared" ca="1" si="8"/>
        <v>0.40347222222222218</v>
      </c>
      <c r="Q29" s="43" t="str">
        <f t="shared" ca="1" si="9"/>
        <v/>
      </c>
      <c r="R29" s="43">
        <f t="shared" ca="1" si="10"/>
        <v>0.4</v>
      </c>
      <c r="S29" s="43" t="str">
        <f t="shared" ca="1" si="11"/>
        <v/>
      </c>
      <c r="T29" s="43">
        <f t="shared" ca="1" si="12"/>
        <v>0.39583333333333331</v>
      </c>
      <c r="U29" s="43" t="str">
        <f t="shared" ca="1" si="13"/>
        <v/>
      </c>
      <c r="V29" s="43">
        <f t="shared" ca="1" si="14"/>
        <v>0.39166666666666661</v>
      </c>
      <c r="W29" s="43">
        <f t="shared" ca="1" si="15"/>
        <v>1.4583333333333337E-2</v>
      </c>
      <c r="X29" s="43">
        <f t="shared" ca="1" si="16"/>
        <v>1.4583333333333323E-2</v>
      </c>
      <c r="Y29" s="43">
        <f t="shared" ca="1" si="17"/>
        <v>0.40347222222222218</v>
      </c>
      <c r="Z29">
        <f ca="1">COUNTIF($M$19:$M28,"&gt;"&amp;$F29)</f>
        <v>0</v>
      </c>
    </row>
    <row r="30" spans="1:26">
      <c r="A30">
        <f t="shared" ca="1" si="18"/>
        <v>11</v>
      </c>
      <c r="B30">
        <f t="shared" ca="1" si="4"/>
        <v>2</v>
      </c>
      <c r="C30" s="43">
        <f t="shared" ca="1" si="5"/>
        <v>1.3888888888888889E-3</v>
      </c>
      <c r="D30">
        <f t="shared" ca="1" si="0"/>
        <v>17</v>
      </c>
      <c r="E30" s="43">
        <f t="shared" ca="1" si="6"/>
        <v>1.1805555555555555E-2</v>
      </c>
      <c r="F30" s="43">
        <f t="shared" ca="1" si="1"/>
        <v>0.39027777777777772</v>
      </c>
      <c r="G30" s="43">
        <f t="shared" ca="1" si="20"/>
        <v>5.5555555555555913E-3</v>
      </c>
      <c r="H30" t="str">
        <f t="shared" ca="1" si="2"/>
        <v>ушел</v>
      </c>
      <c r="I30" s="43">
        <f t="shared" ca="1" si="3"/>
        <v>0.39305555555555549</v>
      </c>
      <c r="J30" s="43">
        <f ca="1">IF(ISTEXT($F30),"",MAX($P$19:P29,$F30))</f>
        <v>0.40347222222222218</v>
      </c>
      <c r="K30" s="43">
        <f ca="1">IF(ISTEXT($F30),"",MAX($R$19:R29,$F30))</f>
        <v>0.4</v>
      </c>
      <c r="L30" s="43">
        <f t="shared" ca="1" si="21"/>
        <v>0.39583333333333331</v>
      </c>
      <c r="M30" s="43">
        <f t="shared" ca="1" si="22"/>
        <v>0.39583333333333331</v>
      </c>
      <c r="N30" t="str">
        <f t="shared" ca="1" si="19"/>
        <v/>
      </c>
      <c r="O30" s="43" t="str">
        <f t="shared" ca="1" si="7"/>
        <v/>
      </c>
      <c r="P30" s="43">
        <f t="shared" ca="1" si="8"/>
        <v>0.40347222222222218</v>
      </c>
      <c r="Q30" s="43" t="str">
        <f t="shared" ca="1" si="9"/>
        <v/>
      </c>
      <c r="R30" s="43">
        <f t="shared" ca="1" si="10"/>
        <v>0.4</v>
      </c>
      <c r="S30" s="43" t="str">
        <f t="shared" ca="1" si="11"/>
        <v/>
      </c>
      <c r="T30" s="43">
        <f t="shared" ca="1" si="12"/>
        <v>0.39583333333333331</v>
      </c>
      <c r="U30" s="43">
        <f t="shared" ca="1" si="13"/>
        <v>2.7777777777777679E-3</v>
      </c>
      <c r="V30" s="43" t="str">
        <f t="shared" ca="1" si="14"/>
        <v/>
      </c>
      <c r="W30" s="43">
        <f t="shared" ca="1" si="15"/>
        <v>2.7777777777777679E-3</v>
      </c>
      <c r="X30" s="43">
        <f t="shared" ca="1" si="16"/>
        <v>2.7777777777777679E-3</v>
      </c>
      <c r="Y30" s="43">
        <f t="shared" ca="1" si="17"/>
        <v>0.39305555555555549</v>
      </c>
      <c r="Z30">
        <f ca="1">COUNTIF($M$19:$M29,"&gt;"&amp;$F30)</f>
        <v>1</v>
      </c>
    </row>
    <row r="31" spans="1:26">
      <c r="A31">
        <f t="shared" ca="1" si="18"/>
        <v>12</v>
      </c>
      <c r="B31">
        <f t="shared" ca="1" si="4"/>
        <v>1</v>
      </c>
      <c r="C31" s="43">
        <f t="shared" ca="1" si="5"/>
        <v>6.9444444444444447E-4</v>
      </c>
      <c r="D31">
        <f t="shared" ca="1" si="0"/>
        <v>17</v>
      </c>
      <c r="E31" s="43">
        <f t="shared" ca="1" si="6"/>
        <v>1.1805555555555555E-2</v>
      </c>
      <c r="F31" s="43">
        <f t="shared" ca="1" si="1"/>
        <v>0.39097222222222217</v>
      </c>
      <c r="G31" s="43">
        <f t="shared" ca="1" si="20"/>
        <v>4.8611111111111494E-3</v>
      </c>
      <c r="H31" t="str">
        <f t="shared" ca="1" si="2"/>
        <v>ушел</v>
      </c>
      <c r="I31" s="43">
        <f t="shared" ca="1" si="3"/>
        <v>0.39374999999999993</v>
      </c>
      <c r="J31" s="43">
        <f ca="1">IF(ISTEXT($F31),"",MAX($P$19:P30,$F31))</f>
        <v>0.40347222222222218</v>
      </c>
      <c r="K31" s="43">
        <f ca="1">IF(ISTEXT($F31),"",MAX($R$19:R30,$F31))</f>
        <v>0.4</v>
      </c>
      <c r="L31" s="43">
        <f t="shared" ca="1" si="21"/>
        <v>0.39583333333333331</v>
      </c>
      <c r="M31" s="43">
        <f t="shared" ca="1" si="22"/>
        <v>0.39583333333333331</v>
      </c>
      <c r="N31" t="str">
        <f t="shared" ca="1" si="19"/>
        <v/>
      </c>
      <c r="O31" s="43" t="str">
        <f t="shared" ca="1" si="7"/>
        <v/>
      </c>
      <c r="P31" s="43">
        <f t="shared" ca="1" si="8"/>
        <v>0.40347222222222218</v>
      </c>
      <c r="Q31" s="43" t="str">
        <f t="shared" ca="1" si="9"/>
        <v/>
      </c>
      <c r="R31" s="43">
        <f t="shared" ca="1" si="10"/>
        <v>0.4</v>
      </c>
      <c r="S31" s="43" t="str">
        <f t="shared" ca="1" si="11"/>
        <v/>
      </c>
      <c r="T31" s="43">
        <f t="shared" ca="1" si="12"/>
        <v>0.39583333333333331</v>
      </c>
      <c r="U31" s="43">
        <f t="shared" ca="1" si="13"/>
        <v>2.7777777777777679E-3</v>
      </c>
      <c r="V31" s="43" t="str">
        <f t="shared" ca="1" si="14"/>
        <v/>
      </c>
      <c r="W31" s="43">
        <f t="shared" ca="1" si="15"/>
        <v>2.7777777777777679E-3</v>
      </c>
      <c r="X31" s="43">
        <f t="shared" ca="1" si="16"/>
        <v>2.7777777777777679E-3</v>
      </c>
      <c r="Y31" s="43">
        <f t="shared" ca="1" si="17"/>
        <v>0.39374999999999993</v>
      </c>
      <c r="Z31">
        <f ca="1">COUNTIF($M$19:$M30,"&gt;"&amp;$F31)</f>
        <v>2</v>
      </c>
    </row>
    <row r="32" spans="1:26">
      <c r="A32">
        <f t="shared" ca="1" si="18"/>
        <v>13</v>
      </c>
      <c r="B32">
        <f t="shared" ca="1" si="4"/>
        <v>3</v>
      </c>
      <c r="C32" s="43">
        <f t="shared" ca="1" si="5"/>
        <v>2.0833333333333333E-3</v>
      </c>
      <c r="D32">
        <f t="shared" ca="1" si="0"/>
        <v>7</v>
      </c>
      <c r="E32" s="43">
        <f t="shared" ca="1" si="6"/>
        <v>4.8611111111111112E-3</v>
      </c>
      <c r="F32" s="43">
        <f t="shared" ca="1" si="1"/>
        <v>0.39305555555555549</v>
      </c>
      <c r="G32" s="43">
        <f t="shared" ca="1" si="20"/>
        <v>2.7777777777778234E-3</v>
      </c>
      <c r="H32" t="str">
        <f t="shared" ca="1" si="2"/>
        <v>ушел</v>
      </c>
      <c r="I32" s="43">
        <f t="shared" ca="1" si="3"/>
        <v>0.39583333333333326</v>
      </c>
      <c r="J32" s="43">
        <f ca="1">IF(ISTEXT($F32),"",MAX($P$19:P31,$F32))</f>
        <v>0.40347222222222218</v>
      </c>
      <c r="K32" s="43">
        <f ca="1">IF(ISTEXT($F32),"",MAX($R$19:R31,$F32))</f>
        <v>0.4</v>
      </c>
      <c r="L32" s="43">
        <f t="shared" ca="1" si="21"/>
        <v>0.39583333333333331</v>
      </c>
      <c r="M32" s="43">
        <f t="shared" ca="1" si="22"/>
        <v>0.39583333333333331</v>
      </c>
      <c r="N32" t="str">
        <f t="shared" ca="1" si="19"/>
        <v/>
      </c>
      <c r="O32" s="43" t="str">
        <f t="shared" ca="1" si="7"/>
        <v/>
      </c>
      <c r="P32" s="43">
        <f t="shared" ca="1" si="8"/>
        <v>0.40347222222222218</v>
      </c>
      <c r="Q32" s="43" t="str">
        <f t="shared" ca="1" si="9"/>
        <v/>
      </c>
      <c r="R32" s="43">
        <f t="shared" ca="1" si="10"/>
        <v>0.4</v>
      </c>
      <c r="S32" s="43" t="str">
        <f t="shared" ca="1" si="11"/>
        <v/>
      </c>
      <c r="T32" s="43">
        <f t="shared" ca="1" si="12"/>
        <v>0.39583333333333331</v>
      </c>
      <c r="U32" s="43">
        <f t="shared" ca="1" si="13"/>
        <v>2.7777777777777679E-3</v>
      </c>
      <c r="V32" s="43" t="str">
        <f t="shared" ca="1" si="14"/>
        <v/>
      </c>
      <c r="W32" s="43">
        <f t="shared" ca="1" si="15"/>
        <v>2.7777777777777679E-3</v>
      </c>
      <c r="X32" s="43">
        <f t="shared" ca="1" si="16"/>
        <v>2.7777777777777679E-3</v>
      </c>
      <c r="Y32" s="43">
        <f t="shared" ca="1" si="17"/>
        <v>0.39583333333333326</v>
      </c>
      <c r="Z32">
        <f ca="1">COUNTIF($M$19:$M31,"&gt;"&amp;$F32)</f>
        <v>2</v>
      </c>
    </row>
    <row r="33" spans="1:26">
      <c r="A33">
        <f t="shared" ca="1" si="18"/>
        <v>14</v>
      </c>
      <c r="B33">
        <f t="shared" ca="1" si="4"/>
        <v>3</v>
      </c>
      <c r="C33" s="43">
        <f t="shared" ca="1" si="5"/>
        <v>2.0833333333333333E-3</v>
      </c>
      <c r="D33">
        <f t="shared" ca="1" si="0"/>
        <v>17</v>
      </c>
      <c r="E33" s="43">
        <f t="shared" ca="1" si="6"/>
        <v>1.1805555555555555E-2</v>
      </c>
      <c r="F33" s="43">
        <f t="shared" ca="1" si="1"/>
        <v>0.39513888888888882</v>
      </c>
      <c r="G33" s="43">
        <f t="shared" ca="1" si="20"/>
        <v>6.9444444444449749E-4</v>
      </c>
      <c r="H33" t="str">
        <f t="shared" ca="1" si="2"/>
        <v/>
      </c>
      <c r="I33" s="43" t="str">
        <f t="shared" ca="1" si="3"/>
        <v/>
      </c>
      <c r="J33" s="43">
        <f ca="1">IF(ISTEXT($F33),"",MAX($P$19:P32,$F33))</f>
        <v>0.40347222222222218</v>
      </c>
      <c r="K33" s="43">
        <f ca="1">IF(ISTEXT($F33),"",MAX($R$19:R32,$F33))</f>
        <v>0.4</v>
      </c>
      <c r="L33" s="43">
        <f t="shared" ca="1" si="21"/>
        <v>0.39583333333333331</v>
      </c>
      <c r="M33" s="43">
        <f t="shared" ca="1" si="22"/>
        <v>0.39583333333333331</v>
      </c>
      <c r="N33">
        <f t="shared" ca="1" si="19"/>
        <v>3</v>
      </c>
      <c r="O33" s="43" t="str">
        <f t="shared" ca="1" si="7"/>
        <v/>
      </c>
      <c r="P33" s="43">
        <f t="shared" ca="1" si="8"/>
        <v>0.40347222222222218</v>
      </c>
      <c r="Q33" s="43" t="str">
        <f t="shared" ca="1" si="9"/>
        <v/>
      </c>
      <c r="R33" s="43">
        <f t="shared" ca="1" si="10"/>
        <v>0.4</v>
      </c>
      <c r="S33" s="43">
        <f t="shared" ca="1" si="11"/>
        <v>0.39583333333333331</v>
      </c>
      <c r="T33" s="43">
        <f t="shared" ca="1" si="12"/>
        <v>0.40763888888888888</v>
      </c>
      <c r="U33" s="43" t="str">
        <f t="shared" ca="1" si="13"/>
        <v/>
      </c>
      <c r="V33" s="43">
        <f t="shared" ca="1" si="14"/>
        <v>0.39583333333333331</v>
      </c>
      <c r="W33" s="43">
        <f t="shared" ca="1" si="15"/>
        <v>1.2500000000000067E-2</v>
      </c>
      <c r="X33" s="43">
        <f t="shared" ca="1" si="16"/>
        <v>1.2500000000000053E-2</v>
      </c>
      <c r="Y33" s="43">
        <f t="shared" ca="1" si="17"/>
        <v>0.40763888888888888</v>
      </c>
      <c r="Z33">
        <f ca="1">COUNTIF($M$19:$M32,"&gt;"&amp;$F33)</f>
        <v>3</v>
      </c>
    </row>
    <row r="34" spans="1:26">
      <c r="A34">
        <f t="shared" ca="1" si="18"/>
        <v>15</v>
      </c>
      <c r="B34">
        <f t="shared" ca="1" si="4"/>
        <v>3</v>
      </c>
      <c r="C34" s="43">
        <f t="shared" ca="1" si="5"/>
        <v>2.0833333333333333E-3</v>
      </c>
      <c r="D34">
        <f t="shared" ca="1" si="0"/>
        <v>7</v>
      </c>
      <c r="E34" s="43">
        <f t="shared" ca="1" si="6"/>
        <v>4.8611111111111112E-3</v>
      </c>
      <c r="F34" s="43">
        <f t="shared" ca="1" si="1"/>
        <v>0.39722222222222214</v>
      </c>
      <c r="G34" s="43">
        <f t="shared" ca="1" si="20"/>
        <v>2.7777777777778789E-3</v>
      </c>
      <c r="H34" t="str">
        <f t="shared" ca="1" si="2"/>
        <v>ушел</v>
      </c>
      <c r="I34" s="43">
        <f t="shared" ca="1" si="3"/>
        <v>0.39999999999999991</v>
      </c>
      <c r="J34" s="43">
        <f ca="1">IF(ISTEXT($F34),"",MAX($P$19:P33,$F34))</f>
        <v>0.40347222222222218</v>
      </c>
      <c r="K34" s="43">
        <f ca="1">IF(ISTEXT($F34),"",MAX($R$19:R33,$F34))</f>
        <v>0.4</v>
      </c>
      <c r="L34" s="43">
        <f t="shared" ca="1" si="21"/>
        <v>0.40763888888888888</v>
      </c>
      <c r="M34" s="43">
        <f t="shared" ca="1" si="22"/>
        <v>0.4</v>
      </c>
      <c r="N34" t="str">
        <f t="shared" ca="1" si="19"/>
        <v/>
      </c>
      <c r="O34" s="43" t="str">
        <f t="shared" ca="1" si="7"/>
        <v/>
      </c>
      <c r="P34" s="43">
        <f t="shared" ca="1" si="8"/>
        <v>0.40347222222222218</v>
      </c>
      <c r="Q34" s="43" t="str">
        <f t="shared" ca="1" si="9"/>
        <v/>
      </c>
      <c r="R34" s="43">
        <f t="shared" ca="1" si="10"/>
        <v>0.4</v>
      </c>
      <c r="S34" s="43" t="str">
        <f t="shared" ca="1" si="11"/>
        <v/>
      </c>
      <c r="T34" s="43">
        <f t="shared" ca="1" si="12"/>
        <v>0.40763888888888888</v>
      </c>
      <c r="U34" s="43">
        <f t="shared" ca="1" si="13"/>
        <v>2.7777777777777679E-3</v>
      </c>
      <c r="V34" s="43" t="str">
        <f t="shared" ca="1" si="14"/>
        <v/>
      </c>
      <c r="W34" s="43">
        <f t="shared" ca="1" si="15"/>
        <v>2.7777777777777679E-3</v>
      </c>
      <c r="X34" s="43">
        <f t="shared" ca="1" si="16"/>
        <v>2.7777777777777679E-3</v>
      </c>
      <c r="Y34" s="43">
        <f t="shared" ca="1" si="17"/>
        <v>0.39999999999999991</v>
      </c>
      <c r="Z34">
        <f ca="1">COUNTIF($M$19:$M33,"&gt;"&amp;$F34)</f>
        <v>0</v>
      </c>
    </row>
    <row r="35" spans="1:26">
      <c r="A35">
        <f t="shared" ca="1" si="18"/>
        <v>16</v>
      </c>
      <c r="B35">
        <f t="shared" ca="1" si="4"/>
        <v>2</v>
      </c>
      <c r="C35" s="43">
        <f t="shared" ca="1" si="5"/>
        <v>1.3888888888888889E-3</v>
      </c>
      <c r="D35">
        <f t="shared" ca="1" si="0"/>
        <v>3</v>
      </c>
      <c r="E35" s="43">
        <f t="shared" ca="1" si="6"/>
        <v>2.0833333333333333E-3</v>
      </c>
      <c r="F35" s="43">
        <f t="shared" ca="1" si="1"/>
        <v>0.39861111111111103</v>
      </c>
      <c r="G35" s="43">
        <f t="shared" ca="1" si="20"/>
        <v>1.388888888888995E-3</v>
      </c>
      <c r="H35" t="str">
        <f t="shared" ca="1" si="2"/>
        <v/>
      </c>
      <c r="I35" s="43" t="str">
        <f t="shared" ca="1" si="3"/>
        <v/>
      </c>
      <c r="J35" s="43">
        <f ca="1">IF(ISTEXT($F35),"",MAX($P$19:P34,$F35))</f>
        <v>0.40347222222222218</v>
      </c>
      <c r="K35" s="43">
        <f ca="1">IF(ISTEXT($F35),"",MAX($R$19:R34,$F35))</f>
        <v>0.4</v>
      </c>
      <c r="L35" s="43">
        <f t="shared" ca="1" si="21"/>
        <v>0.40763888888888888</v>
      </c>
      <c r="M35" s="43">
        <f t="shared" ca="1" si="22"/>
        <v>0.4</v>
      </c>
      <c r="N35">
        <f t="shared" ca="1" si="19"/>
        <v>2</v>
      </c>
      <c r="O35" s="43" t="str">
        <f t="shared" ca="1" si="7"/>
        <v/>
      </c>
      <c r="P35" s="43">
        <f t="shared" ca="1" si="8"/>
        <v>0.40347222222222218</v>
      </c>
      <c r="Q35" s="43">
        <f t="shared" ca="1" si="9"/>
        <v>0.4</v>
      </c>
      <c r="R35" s="43">
        <f t="shared" ca="1" si="10"/>
        <v>0.40208333333333335</v>
      </c>
      <c r="S35" s="43" t="str">
        <f t="shared" ca="1" si="11"/>
        <v/>
      </c>
      <c r="T35" s="43">
        <f t="shared" ca="1" si="12"/>
        <v>0.40763888888888888</v>
      </c>
      <c r="U35" s="43" t="str">
        <f t="shared" ca="1" si="13"/>
        <v/>
      </c>
      <c r="V35" s="43">
        <f t="shared" ca="1" si="14"/>
        <v>0.4</v>
      </c>
      <c r="W35" s="43">
        <f t="shared" ca="1" si="15"/>
        <v>3.4722222222223209E-3</v>
      </c>
      <c r="X35" s="43">
        <f t="shared" ca="1" si="16"/>
        <v>3.4722222222223283E-3</v>
      </c>
      <c r="Y35" s="43">
        <f t="shared" ca="1" si="17"/>
        <v>0.40208333333333335</v>
      </c>
      <c r="Z35">
        <f ca="1">COUNTIF($M$19:$M34,"&gt;"&amp;$F35)</f>
        <v>1</v>
      </c>
    </row>
    <row r="36" spans="1:26">
      <c r="A36">
        <f t="shared" ca="1" si="18"/>
        <v>17</v>
      </c>
      <c r="B36">
        <f t="shared" ca="1" si="4"/>
        <v>2</v>
      </c>
      <c r="C36" s="43">
        <f t="shared" ca="1" si="5"/>
        <v>1.3888888888888889E-3</v>
      </c>
      <c r="D36">
        <f t="shared" ca="1" si="0"/>
        <v>17</v>
      </c>
      <c r="E36" s="43">
        <f t="shared" ca="1" si="6"/>
        <v>1.1805555555555555E-2</v>
      </c>
      <c r="F36" s="43">
        <f t="shared" ca="1" si="1"/>
        <v>0.39999999999999991</v>
      </c>
      <c r="G36" s="43">
        <f t="shared" ca="1" si="20"/>
        <v>2.083333333333437E-3</v>
      </c>
      <c r="H36" t="str">
        <f t="shared" ca="1" si="2"/>
        <v/>
      </c>
      <c r="I36" s="43" t="str">
        <f t="shared" ca="1" si="3"/>
        <v/>
      </c>
      <c r="J36" s="43">
        <f ca="1">IF(ISTEXT($F36),"",MAX($P$19:P35,$F36))</f>
        <v>0.40347222222222218</v>
      </c>
      <c r="K36" s="43">
        <f ca="1">IF(ISTEXT($F36),"",MAX($R$19:R35,$F36))</f>
        <v>0.40208333333333335</v>
      </c>
      <c r="L36" s="43">
        <f t="shared" ca="1" si="21"/>
        <v>0.40763888888888888</v>
      </c>
      <c r="M36" s="43">
        <f t="shared" ca="1" si="22"/>
        <v>0.40208333333333335</v>
      </c>
      <c r="N36">
        <f t="shared" ca="1" si="19"/>
        <v>2</v>
      </c>
      <c r="O36" s="43" t="str">
        <f t="shared" ca="1" si="7"/>
        <v/>
      </c>
      <c r="P36" s="43">
        <f t="shared" ca="1" si="8"/>
        <v>0.40347222222222218</v>
      </c>
      <c r="Q36" s="43">
        <f t="shared" ca="1" si="9"/>
        <v>0.40208333333333335</v>
      </c>
      <c r="R36" s="43">
        <f t="shared" ca="1" si="10"/>
        <v>0.41388888888888892</v>
      </c>
      <c r="S36" s="43" t="str">
        <f t="shared" ca="1" si="11"/>
        <v/>
      </c>
      <c r="T36" s="43">
        <f t="shared" ca="1" si="12"/>
        <v>0.40763888888888888</v>
      </c>
      <c r="U36" s="43" t="str">
        <f t="shared" ca="1" si="13"/>
        <v/>
      </c>
      <c r="V36" s="43">
        <f t="shared" ca="1" si="14"/>
        <v>0.40208333333333335</v>
      </c>
      <c r="W36" s="43">
        <f t="shared" ca="1" si="15"/>
        <v>1.3888888888889006E-2</v>
      </c>
      <c r="X36" s="43">
        <f t="shared" ca="1" si="16"/>
        <v>1.3888888888888992E-2</v>
      </c>
      <c r="Y36" s="43">
        <f t="shared" ca="1" si="17"/>
        <v>0.41388888888888892</v>
      </c>
      <c r="Z36">
        <f ca="1">COUNTIF($M$19:$M35,"&gt;"&amp;$F36)</f>
        <v>0</v>
      </c>
    </row>
    <row r="37" spans="1:26">
      <c r="A37">
        <f t="shared" ca="1" si="18"/>
        <v>18</v>
      </c>
      <c r="B37">
        <f t="shared" ca="1" si="4"/>
        <v>3</v>
      </c>
      <c r="C37" s="43">
        <f t="shared" ca="1" si="5"/>
        <v>2.0833333333333333E-3</v>
      </c>
      <c r="D37">
        <f t="shared" ca="1" si="0"/>
        <v>9</v>
      </c>
      <c r="E37" s="43">
        <f t="shared" ca="1" si="6"/>
        <v>6.2500000000000003E-3</v>
      </c>
      <c r="F37" s="43">
        <f t="shared" ca="1" si="1"/>
        <v>0.40208333333333324</v>
      </c>
      <c r="G37" s="43">
        <f t="shared" ca="1" si="20"/>
        <v>1.3888888888889395E-3</v>
      </c>
      <c r="H37" t="str">
        <f t="shared" ca="1" si="2"/>
        <v/>
      </c>
      <c r="I37" s="43" t="str">
        <f t="shared" ca="1" si="3"/>
        <v/>
      </c>
      <c r="J37" s="43">
        <f ca="1">IF(ISTEXT($F37),"",MAX($P$19:P36,$F37))</f>
        <v>0.40347222222222218</v>
      </c>
      <c r="K37" s="43">
        <f ca="1">IF(ISTEXT($F37),"",MAX($R$19:R36,$F37))</f>
        <v>0.41388888888888892</v>
      </c>
      <c r="L37" s="43">
        <f t="shared" ca="1" si="21"/>
        <v>0.40763888888888888</v>
      </c>
      <c r="M37" s="43">
        <f t="shared" ca="1" si="22"/>
        <v>0.40347222222222218</v>
      </c>
      <c r="N37">
        <f t="shared" ca="1" si="19"/>
        <v>1</v>
      </c>
      <c r="O37" s="43">
        <f t="shared" ca="1" si="7"/>
        <v>0.40347222222222218</v>
      </c>
      <c r="P37" s="43">
        <f t="shared" ca="1" si="8"/>
        <v>0.40972222222222215</v>
      </c>
      <c r="Q37" s="43" t="str">
        <f t="shared" ca="1" si="9"/>
        <v/>
      </c>
      <c r="R37" s="43">
        <f t="shared" ca="1" si="10"/>
        <v>0.41388888888888892</v>
      </c>
      <c r="S37" s="43" t="str">
        <f t="shared" ca="1" si="11"/>
        <v/>
      </c>
      <c r="T37" s="43">
        <f t="shared" ca="1" si="12"/>
        <v>0.40763888888888888</v>
      </c>
      <c r="U37" s="43" t="str">
        <f t="shared" ca="1" si="13"/>
        <v/>
      </c>
      <c r="V37" s="43">
        <f t="shared" ca="1" si="14"/>
        <v>0.40347222222222218</v>
      </c>
      <c r="W37" s="43">
        <f t="shared" ca="1" si="15"/>
        <v>7.6388888888889173E-3</v>
      </c>
      <c r="X37" s="43">
        <f t="shared" ca="1" si="16"/>
        <v>7.6388888888889398E-3</v>
      </c>
      <c r="Y37" s="43">
        <f t="shared" ca="1" si="17"/>
        <v>0.40972222222222215</v>
      </c>
      <c r="Z37">
        <f ca="1">COUNTIF($M$19:$M36,"&gt;"&amp;$F37)</f>
        <v>0</v>
      </c>
    </row>
    <row r="38" spans="1:26">
      <c r="A38">
        <f t="shared" ca="1" si="18"/>
        <v>19</v>
      </c>
      <c r="B38">
        <f t="shared" ca="1" si="4"/>
        <v>2</v>
      </c>
      <c r="C38" s="43">
        <f t="shared" ca="1" si="5"/>
        <v>1.3888888888888889E-3</v>
      </c>
      <c r="D38">
        <f t="shared" ca="1" si="0"/>
        <v>7</v>
      </c>
      <c r="E38" s="43">
        <f t="shared" ca="1" si="6"/>
        <v>4.8611111111111112E-3</v>
      </c>
      <c r="F38" s="43">
        <f t="shared" ca="1" si="1"/>
        <v>0.40347222222222212</v>
      </c>
      <c r="G38" s="43">
        <f t="shared" ca="1" si="20"/>
        <v>4.1666666666667629E-3</v>
      </c>
      <c r="H38" t="str">
        <f t="shared" ca="1" si="2"/>
        <v>ушел</v>
      </c>
      <c r="I38" s="43">
        <f t="shared" ca="1" si="3"/>
        <v>0.40624999999999989</v>
      </c>
      <c r="J38" s="43">
        <f ca="1">IF(ISTEXT($F38),"",MAX($P$19:P37,$F38))</f>
        <v>0.40972222222222215</v>
      </c>
      <c r="K38" s="43">
        <f ca="1">IF(ISTEXT($F38),"",MAX($R$19:R37,$F38))</f>
        <v>0.41388888888888892</v>
      </c>
      <c r="L38" s="43">
        <f t="shared" ca="1" si="21"/>
        <v>0.40763888888888888</v>
      </c>
      <c r="M38" s="43">
        <f t="shared" ca="1" si="22"/>
        <v>0.40763888888888888</v>
      </c>
      <c r="N38" t="str">
        <f t="shared" ca="1" si="19"/>
        <v/>
      </c>
      <c r="O38" s="43" t="str">
        <f t="shared" ca="1" si="7"/>
        <v/>
      </c>
      <c r="P38" s="43">
        <f t="shared" ca="1" si="8"/>
        <v>0.40972222222222215</v>
      </c>
      <c r="Q38" s="43" t="str">
        <f t="shared" ca="1" si="9"/>
        <v/>
      </c>
      <c r="R38" s="43">
        <f t="shared" ca="1" si="10"/>
        <v>0.41388888888888892</v>
      </c>
      <c r="S38" s="43" t="str">
        <f t="shared" ca="1" si="11"/>
        <v/>
      </c>
      <c r="T38" s="43">
        <f t="shared" ca="1" si="12"/>
        <v>0.40763888888888888</v>
      </c>
      <c r="U38" s="43">
        <f t="shared" ca="1" si="13"/>
        <v>2.7777777777777679E-3</v>
      </c>
      <c r="V38" s="43" t="str">
        <f t="shared" ca="1" si="14"/>
        <v/>
      </c>
      <c r="W38" s="43">
        <f t="shared" ca="1" si="15"/>
        <v>2.7777777777777679E-3</v>
      </c>
      <c r="X38" s="43">
        <f t="shared" ca="1" si="16"/>
        <v>2.7777777777777679E-3</v>
      </c>
      <c r="Y38" s="43">
        <f t="shared" ca="1" si="17"/>
        <v>0.40624999999999989</v>
      </c>
      <c r="Z38">
        <f ca="1">COUNTIF($M$19:$M37,"&gt;"&amp;$F38)</f>
        <v>0</v>
      </c>
    </row>
    <row r="39" spans="1:26">
      <c r="A39">
        <f t="shared" ca="1" si="18"/>
        <v>20</v>
      </c>
      <c r="B39">
        <f t="shared" ca="1" si="4"/>
        <v>3</v>
      </c>
      <c r="C39" s="43">
        <f t="shared" ca="1" si="5"/>
        <v>2.0833333333333333E-3</v>
      </c>
      <c r="D39">
        <f t="shared" ca="1" si="0"/>
        <v>9</v>
      </c>
      <c r="E39" s="43">
        <f t="shared" ca="1" si="6"/>
        <v>6.2500000000000003E-3</v>
      </c>
      <c r="F39" s="43">
        <f t="shared" ca="1" si="1"/>
        <v>0.40555555555555545</v>
      </c>
      <c r="G39" s="43">
        <f t="shared" ca="1" si="20"/>
        <v>2.083333333333437E-3</v>
      </c>
      <c r="H39" t="str">
        <f t="shared" ca="1" si="2"/>
        <v/>
      </c>
      <c r="I39" s="43" t="str">
        <f t="shared" ca="1" si="3"/>
        <v/>
      </c>
      <c r="J39" s="43">
        <f ca="1">IF(ISTEXT($F39),"",MAX($P$19:P38,$F39))</f>
        <v>0.40972222222222215</v>
      </c>
      <c r="K39" s="43">
        <f ca="1">IF(ISTEXT($F39),"",MAX($R$19:R38,$F39))</f>
        <v>0.41388888888888892</v>
      </c>
      <c r="L39" s="43">
        <f t="shared" ca="1" si="21"/>
        <v>0.40763888888888888</v>
      </c>
      <c r="M39" s="43">
        <f t="shared" ca="1" si="22"/>
        <v>0.40763888888888888</v>
      </c>
      <c r="N39">
        <f t="shared" ca="1" si="19"/>
        <v>3</v>
      </c>
      <c r="O39" s="43" t="str">
        <f t="shared" ca="1" si="7"/>
        <v/>
      </c>
      <c r="P39" s="43">
        <f t="shared" ca="1" si="8"/>
        <v>0.40972222222222215</v>
      </c>
      <c r="Q39" s="43" t="str">
        <f t="shared" ca="1" si="9"/>
        <v/>
      </c>
      <c r="R39" s="43">
        <f t="shared" ca="1" si="10"/>
        <v>0.41388888888888892</v>
      </c>
      <c r="S39" s="43">
        <f t="shared" ca="1" si="11"/>
        <v>0.40763888888888888</v>
      </c>
      <c r="T39" s="43">
        <f t="shared" ca="1" si="12"/>
        <v>0.41388888888888886</v>
      </c>
      <c r="U39" s="43" t="str">
        <f t="shared" ca="1" si="13"/>
        <v/>
      </c>
      <c r="V39" s="43">
        <f t="shared" ca="1" si="14"/>
        <v>0.40763888888888888</v>
      </c>
      <c r="W39" s="43">
        <f t="shared" ca="1" si="15"/>
        <v>8.3333333333334147E-3</v>
      </c>
      <c r="X39" s="43">
        <f t="shared" ca="1" si="16"/>
        <v>8.3333333333334373E-3</v>
      </c>
      <c r="Y39" s="43">
        <f t="shared" ca="1" si="17"/>
        <v>0.41388888888888886</v>
      </c>
      <c r="Z39">
        <f ca="1">COUNTIF($M$19:$M38,"&gt;"&amp;$F39)</f>
        <v>1</v>
      </c>
    </row>
    <row r="40" spans="1:26">
      <c r="A40">
        <f t="shared" ca="1" si="18"/>
        <v>21</v>
      </c>
      <c r="B40">
        <f t="shared" ca="1" si="4"/>
        <v>2</v>
      </c>
      <c r="C40" s="43">
        <f t="shared" ca="1" si="5"/>
        <v>1.3888888888888889E-3</v>
      </c>
      <c r="D40">
        <f t="shared" ca="1" si="0"/>
        <v>7</v>
      </c>
      <c r="E40" s="43">
        <f t="shared" ca="1" si="6"/>
        <v>4.8611111111111112E-3</v>
      </c>
      <c r="F40" s="43">
        <f t="shared" ca="1" si="1"/>
        <v>0.40694444444444433</v>
      </c>
      <c r="G40" s="43">
        <f t="shared" ca="1" si="20"/>
        <v>2.7777777777778234E-3</v>
      </c>
      <c r="H40" t="str">
        <f t="shared" ca="1" si="2"/>
        <v>ушел</v>
      </c>
      <c r="I40" s="43">
        <f t="shared" ca="1" si="3"/>
        <v>0.4097222222222221</v>
      </c>
      <c r="J40" s="43">
        <f ca="1">IF(ISTEXT($F40),"",MAX($P$19:P39,$F40))</f>
        <v>0.40972222222222215</v>
      </c>
      <c r="K40" s="43">
        <f ca="1">IF(ISTEXT($F40),"",MAX($R$19:R39,$F40))</f>
        <v>0.41388888888888892</v>
      </c>
      <c r="L40" s="43">
        <f t="shared" ca="1" si="21"/>
        <v>0.41388888888888886</v>
      </c>
      <c r="M40" s="43">
        <f t="shared" ca="1" si="22"/>
        <v>0.40972222222222215</v>
      </c>
      <c r="N40" t="str">
        <f t="shared" ca="1" si="19"/>
        <v/>
      </c>
      <c r="O40" s="43" t="str">
        <f t="shared" ca="1" si="7"/>
        <v/>
      </c>
      <c r="P40" s="43">
        <f t="shared" ca="1" si="8"/>
        <v>0.40972222222222215</v>
      </c>
      <c r="Q40" s="43" t="str">
        <f t="shared" ca="1" si="9"/>
        <v/>
      </c>
      <c r="R40" s="43">
        <f t="shared" ca="1" si="10"/>
        <v>0.41388888888888892</v>
      </c>
      <c r="S40" s="43" t="str">
        <f t="shared" ca="1" si="11"/>
        <v/>
      </c>
      <c r="T40" s="43">
        <f t="shared" ca="1" si="12"/>
        <v>0.41388888888888886</v>
      </c>
      <c r="U40" s="43">
        <f t="shared" ca="1" si="13"/>
        <v>2.7777777777777679E-3</v>
      </c>
      <c r="V40" s="43" t="str">
        <f t="shared" ca="1" si="14"/>
        <v/>
      </c>
      <c r="W40" s="43">
        <f t="shared" ca="1" si="15"/>
        <v>2.7777777777777679E-3</v>
      </c>
      <c r="X40" s="43">
        <f t="shared" ca="1" si="16"/>
        <v>2.7777777777777679E-3</v>
      </c>
      <c r="Y40" s="43">
        <f t="shared" ca="1" si="17"/>
        <v>0.4097222222222221</v>
      </c>
      <c r="Z40">
        <f ca="1">COUNTIF($M$19:$M39,"&gt;"&amp;$F40)</f>
        <v>2</v>
      </c>
    </row>
    <row r="41" spans="1:26">
      <c r="A41">
        <f t="shared" ca="1" si="18"/>
        <v>22</v>
      </c>
      <c r="B41">
        <f t="shared" ca="1" si="4"/>
        <v>3</v>
      </c>
      <c r="C41" s="43">
        <f t="shared" ca="1" si="5"/>
        <v>2.0833333333333333E-3</v>
      </c>
      <c r="D41">
        <f t="shared" ca="1" si="0"/>
        <v>9</v>
      </c>
      <c r="E41" s="43">
        <f t="shared" ca="1" si="6"/>
        <v>6.2500000000000003E-3</v>
      </c>
      <c r="F41" s="43">
        <f t="shared" ca="1" si="1"/>
        <v>0.40902777777777766</v>
      </c>
      <c r="G41" s="43">
        <f t="shared" ca="1" si="20"/>
        <v>6.9444444444449749E-4</v>
      </c>
      <c r="H41" t="str">
        <f t="shared" ca="1" si="2"/>
        <v/>
      </c>
      <c r="I41" s="43" t="str">
        <f t="shared" ca="1" si="3"/>
        <v/>
      </c>
      <c r="J41" s="43">
        <f ca="1">IF(ISTEXT($F41),"",MAX($P$19:P40,$F41))</f>
        <v>0.40972222222222215</v>
      </c>
      <c r="K41" s="43">
        <f ca="1">IF(ISTEXT($F41),"",MAX($R$19:R40,$F41))</f>
        <v>0.41388888888888892</v>
      </c>
      <c r="L41" s="43">
        <f t="shared" ca="1" si="21"/>
        <v>0.41388888888888886</v>
      </c>
      <c r="M41" s="43">
        <f t="shared" ca="1" si="22"/>
        <v>0.40972222222222215</v>
      </c>
      <c r="N41">
        <f t="shared" ca="1" si="19"/>
        <v>1</v>
      </c>
      <c r="O41" s="43">
        <f t="shared" ca="1" si="7"/>
        <v>0.40972222222222215</v>
      </c>
      <c r="P41" s="43">
        <f t="shared" ca="1" si="8"/>
        <v>0.41597222222222213</v>
      </c>
      <c r="Q41" s="43" t="str">
        <f t="shared" ca="1" si="9"/>
        <v/>
      </c>
      <c r="R41" s="43">
        <f t="shared" ca="1" si="10"/>
        <v>0.41388888888888892</v>
      </c>
      <c r="S41" s="43" t="str">
        <f t="shared" ca="1" si="11"/>
        <v/>
      </c>
      <c r="T41" s="43">
        <f t="shared" ca="1" si="12"/>
        <v>0.41388888888888886</v>
      </c>
      <c r="U41" s="43" t="str">
        <f t="shared" ca="1" si="13"/>
        <v/>
      </c>
      <c r="V41" s="43">
        <f t="shared" ca="1" si="14"/>
        <v>0.40972222222222215</v>
      </c>
      <c r="W41" s="43">
        <f t="shared" ca="1" si="15"/>
        <v>6.9444444444444753E-3</v>
      </c>
      <c r="X41" s="43">
        <f t="shared" ca="1" si="16"/>
        <v>6.9444444444444978E-3</v>
      </c>
      <c r="Y41" s="43">
        <f t="shared" ca="1" si="17"/>
        <v>0.41597222222222213</v>
      </c>
      <c r="Z41">
        <f ca="1">COUNTIF($M$19:$M40,"&gt;"&amp;$F41)</f>
        <v>1</v>
      </c>
    </row>
    <row r="42" spans="1:26">
      <c r="A42">
        <f t="shared" ca="1" si="18"/>
        <v>23</v>
      </c>
      <c r="B42">
        <f t="shared" ca="1" si="4"/>
        <v>2</v>
      </c>
      <c r="C42" s="43">
        <f t="shared" ca="1" si="5"/>
        <v>1.3888888888888889E-3</v>
      </c>
      <c r="D42">
        <f t="shared" ca="1" si="0"/>
        <v>17</v>
      </c>
      <c r="E42" s="43">
        <f t="shared" ca="1" si="6"/>
        <v>1.1805555555555555E-2</v>
      </c>
      <c r="F42" s="43">
        <f t="shared" ca="1" si="1"/>
        <v>0.41041666666666654</v>
      </c>
      <c r="G42" s="43">
        <f t="shared" ca="1" si="20"/>
        <v>3.4722222222223209E-3</v>
      </c>
      <c r="H42" t="str">
        <f t="shared" ca="1" si="2"/>
        <v>ушел</v>
      </c>
      <c r="I42" s="43">
        <f t="shared" ca="1" si="3"/>
        <v>0.41319444444444431</v>
      </c>
      <c r="J42" s="43">
        <f ca="1">IF(ISTEXT($F42),"",MAX($P$19:P41,$F42))</f>
        <v>0.41597222222222213</v>
      </c>
      <c r="K42" s="43">
        <f ca="1">IF(ISTEXT($F42),"",MAX($R$19:R41,$F42))</f>
        <v>0.41388888888888892</v>
      </c>
      <c r="L42" s="43">
        <f t="shared" ca="1" si="21"/>
        <v>0.41388888888888886</v>
      </c>
      <c r="M42" s="43">
        <f t="shared" ca="1" si="22"/>
        <v>0.41388888888888886</v>
      </c>
      <c r="N42" t="str">
        <f t="shared" ca="1" si="19"/>
        <v/>
      </c>
      <c r="O42" s="43" t="str">
        <f t="shared" ca="1" si="7"/>
        <v/>
      </c>
      <c r="P42" s="43">
        <f t="shared" ca="1" si="8"/>
        <v>0.41597222222222213</v>
      </c>
      <c r="Q42" s="43" t="str">
        <f t="shared" ca="1" si="9"/>
        <v/>
      </c>
      <c r="R42" s="43">
        <f t="shared" ca="1" si="10"/>
        <v>0.41388888888888892</v>
      </c>
      <c r="S42" s="43" t="str">
        <f t="shared" ca="1" si="11"/>
        <v/>
      </c>
      <c r="T42" s="43">
        <f t="shared" ca="1" si="12"/>
        <v>0.41388888888888886</v>
      </c>
      <c r="U42" s="43">
        <f t="shared" ca="1" si="13"/>
        <v>2.7777777777777679E-3</v>
      </c>
      <c r="V42" s="43" t="str">
        <f t="shared" ca="1" si="14"/>
        <v/>
      </c>
      <c r="W42" s="43">
        <f t="shared" ca="1" si="15"/>
        <v>2.7777777777777679E-3</v>
      </c>
      <c r="X42" s="43">
        <f t="shared" ca="1" si="16"/>
        <v>2.7777777777777679E-3</v>
      </c>
      <c r="Y42" s="43">
        <f t="shared" ca="1" si="17"/>
        <v>0.41319444444444431</v>
      </c>
      <c r="Z42">
        <f ca="1">COUNTIF($M$19:$M41,"&gt;"&amp;$F42)</f>
        <v>0</v>
      </c>
    </row>
    <row r="43" spans="1:26">
      <c r="A43">
        <f t="shared" ca="1" si="18"/>
        <v>24</v>
      </c>
      <c r="B43">
        <f t="shared" ca="1" si="4"/>
        <v>3</v>
      </c>
      <c r="C43" s="43">
        <f t="shared" ca="1" si="5"/>
        <v>2.0833333333333333E-3</v>
      </c>
      <c r="D43">
        <f t="shared" ca="1" si="0"/>
        <v>7</v>
      </c>
      <c r="E43" s="43">
        <f t="shared" ca="1" si="6"/>
        <v>4.8611111111111112E-3</v>
      </c>
      <c r="F43" s="43">
        <f t="shared" ca="1" si="1"/>
        <v>0.41249999999999987</v>
      </c>
      <c r="G43" s="43">
        <f t="shared" ca="1" si="20"/>
        <v>1.388888888888995E-3</v>
      </c>
      <c r="H43" t="str">
        <f t="shared" ca="1" si="2"/>
        <v/>
      </c>
      <c r="I43" s="43" t="str">
        <f t="shared" ca="1" si="3"/>
        <v/>
      </c>
      <c r="J43" s="43">
        <f ca="1">IF(ISTEXT($F43),"",MAX($P$19:P42,$F43))</f>
        <v>0.41597222222222213</v>
      </c>
      <c r="K43" s="43">
        <f ca="1">IF(ISTEXT($F43),"",MAX($R$19:R42,$F43))</f>
        <v>0.41388888888888892</v>
      </c>
      <c r="L43" s="43">
        <f t="shared" ca="1" si="21"/>
        <v>0.41388888888888886</v>
      </c>
      <c r="M43" s="43">
        <f t="shared" ca="1" si="22"/>
        <v>0.41388888888888886</v>
      </c>
      <c r="N43">
        <f t="shared" ca="1" si="19"/>
        <v>3</v>
      </c>
      <c r="O43" s="43" t="str">
        <f t="shared" ca="1" si="7"/>
        <v/>
      </c>
      <c r="P43" s="43">
        <f t="shared" ca="1" si="8"/>
        <v>0.41597222222222213</v>
      </c>
      <c r="Q43" s="43" t="str">
        <f t="shared" ca="1" si="9"/>
        <v/>
      </c>
      <c r="R43" s="43">
        <f t="shared" ca="1" si="10"/>
        <v>0.41388888888888892</v>
      </c>
      <c r="S43" s="43">
        <f t="shared" ca="1" si="11"/>
        <v>0.41388888888888886</v>
      </c>
      <c r="T43" s="43">
        <f t="shared" ca="1" si="12"/>
        <v>0.41874999999999996</v>
      </c>
      <c r="U43" s="43" t="str">
        <f t="shared" ca="1" si="13"/>
        <v/>
      </c>
      <c r="V43" s="43">
        <f t="shared" ca="1" si="14"/>
        <v>0.41388888888888886</v>
      </c>
      <c r="W43" s="43">
        <f t="shared" ca="1" si="15"/>
        <v>6.2500000000000888E-3</v>
      </c>
      <c r="X43" s="43">
        <f t="shared" ca="1" si="16"/>
        <v>6.2500000000001062E-3</v>
      </c>
      <c r="Y43" s="43">
        <f t="shared" ca="1" si="17"/>
        <v>0.41874999999999996</v>
      </c>
      <c r="Z43">
        <f ca="1">COUNTIF($M$19:$M42,"&gt;"&amp;$F43)</f>
        <v>1</v>
      </c>
    </row>
    <row r="44" spans="1:26">
      <c r="A44">
        <f t="shared" ca="1" si="18"/>
        <v>25</v>
      </c>
      <c r="B44">
        <f t="shared" ca="1" si="4"/>
        <v>2</v>
      </c>
      <c r="C44" s="43">
        <f t="shared" ca="1" si="5"/>
        <v>1.3888888888888889E-3</v>
      </c>
      <c r="D44">
        <f t="shared" ca="1" si="0"/>
        <v>17</v>
      </c>
      <c r="E44" s="43">
        <f t="shared" ca="1" si="6"/>
        <v>1.1805555555555555E-2</v>
      </c>
      <c r="F44" s="43">
        <f t="shared" ca="1" si="1"/>
        <v>0.41388888888888875</v>
      </c>
      <c r="G44" s="43">
        <f t="shared" ca="1" si="20"/>
        <v>1.6653345369377348E-16</v>
      </c>
      <c r="H44" t="str">
        <f t="shared" ca="1" si="2"/>
        <v/>
      </c>
      <c r="I44" s="43" t="str">
        <f t="shared" ca="1" si="3"/>
        <v/>
      </c>
      <c r="J44" s="43">
        <f ca="1">IF(ISTEXT($F44),"",MAX($P$19:P43,$F44))</f>
        <v>0.41597222222222213</v>
      </c>
      <c r="K44" s="43">
        <f ca="1">IF(ISTEXT($F44),"",MAX($R$19:R43,$F44))</f>
        <v>0.41388888888888892</v>
      </c>
      <c r="L44" s="43">
        <f t="shared" ca="1" si="21"/>
        <v>0.41874999999999996</v>
      </c>
      <c r="M44" s="43">
        <f t="shared" ca="1" si="22"/>
        <v>0.41388888888888892</v>
      </c>
      <c r="N44">
        <f t="shared" ca="1" si="19"/>
        <v>2</v>
      </c>
      <c r="O44" s="43" t="str">
        <f t="shared" ca="1" si="7"/>
        <v/>
      </c>
      <c r="P44" s="43">
        <f t="shared" ca="1" si="8"/>
        <v>0.41597222222222213</v>
      </c>
      <c r="Q44" s="43">
        <f t="shared" ca="1" si="9"/>
        <v>0.41388888888888892</v>
      </c>
      <c r="R44" s="43">
        <f t="shared" ca="1" si="10"/>
        <v>0.42569444444444449</v>
      </c>
      <c r="S44" s="43" t="str">
        <f t="shared" ca="1" si="11"/>
        <v/>
      </c>
      <c r="T44" s="43">
        <f t="shared" ca="1" si="12"/>
        <v>0.41874999999999996</v>
      </c>
      <c r="U44" s="43" t="str">
        <f t="shared" ca="1" si="13"/>
        <v/>
      </c>
      <c r="V44" s="43">
        <f t="shared" ca="1" si="14"/>
        <v>0.41388888888888892</v>
      </c>
      <c r="W44" s="43">
        <f t="shared" ca="1" si="15"/>
        <v>1.1805555555555736E-2</v>
      </c>
      <c r="X44" s="43">
        <f t="shared" ca="1" si="16"/>
        <v>1.1805555555555722E-2</v>
      </c>
      <c r="Y44" s="43">
        <f t="shared" ca="1" si="17"/>
        <v>0.42569444444444449</v>
      </c>
      <c r="Z44">
        <f ca="1">COUNTIF($M$19:$M43,"&gt;"&amp;$F44)</f>
        <v>0</v>
      </c>
    </row>
    <row r="45" spans="1:26">
      <c r="A45">
        <f t="shared" ca="1" si="18"/>
        <v>26</v>
      </c>
      <c r="B45">
        <f t="shared" ca="1" si="4"/>
        <v>2</v>
      </c>
      <c r="C45" s="43">
        <f t="shared" ca="1" si="5"/>
        <v>1.3888888888888889E-3</v>
      </c>
      <c r="D45">
        <f t="shared" ca="1" si="0"/>
        <v>17</v>
      </c>
      <c r="E45" s="43">
        <f t="shared" ca="1" si="6"/>
        <v>1.1805555555555555E-2</v>
      </c>
      <c r="F45" s="43">
        <f t="shared" ca="1" si="1"/>
        <v>0.41527777777777763</v>
      </c>
      <c r="G45" s="43">
        <f t="shared" ca="1" si="20"/>
        <v>6.9444444444449749E-4</v>
      </c>
      <c r="H45" t="str">
        <f t="shared" ca="1" si="2"/>
        <v/>
      </c>
      <c r="I45" s="43" t="str">
        <f t="shared" ca="1" si="3"/>
        <v/>
      </c>
      <c r="J45" s="43">
        <f ca="1">IF(ISTEXT($F45),"",MAX($P$19:P44,$F45))</f>
        <v>0.41597222222222213</v>
      </c>
      <c r="K45" s="43">
        <f ca="1">IF(ISTEXT($F45),"",MAX($R$19:R44,$F45))</f>
        <v>0.42569444444444449</v>
      </c>
      <c r="L45" s="43">
        <f t="shared" ca="1" si="21"/>
        <v>0.41874999999999996</v>
      </c>
      <c r="M45" s="43">
        <f t="shared" ca="1" si="22"/>
        <v>0.41597222222222213</v>
      </c>
      <c r="N45">
        <f t="shared" ca="1" si="19"/>
        <v>1</v>
      </c>
      <c r="O45" s="43">
        <f t="shared" ca="1" si="7"/>
        <v>0.41597222222222213</v>
      </c>
      <c r="P45" s="43">
        <f t="shared" ca="1" si="8"/>
        <v>0.4277777777777777</v>
      </c>
      <c r="Q45" s="43" t="str">
        <f t="shared" ca="1" si="9"/>
        <v/>
      </c>
      <c r="R45" s="43">
        <f t="shared" ca="1" si="10"/>
        <v>0.42569444444444449</v>
      </c>
      <c r="S45" s="43" t="str">
        <f t="shared" ca="1" si="11"/>
        <v/>
      </c>
      <c r="T45" s="43">
        <f t="shared" ca="1" si="12"/>
        <v>0.41874999999999996</v>
      </c>
      <c r="U45" s="43" t="str">
        <f t="shared" ca="1" si="13"/>
        <v/>
      </c>
      <c r="V45" s="43">
        <f t="shared" ca="1" si="14"/>
        <v>0.41597222222222213</v>
      </c>
      <c r="W45" s="43">
        <f t="shared" ca="1" si="15"/>
        <v>1.2500000000000067E-2</v>
      </c>
      <c r="X45" s="43">
        <f t="shared" ca="1" si="16"/>
        <v>1.2500000000000053E-2</v>
      </c>
      <c r="Y45" s="43">
        <f t="shared" ca="1" si="17"/>
        <v>0.4277777777777777</v>
      </c>
      <c r="Z45">
        <f ca="1">COUNTIF($M$19:$M44,"&gt;"&amp;$F45)</f>
        <v>0</v>
      </c>
    </row>
    <row r="46" spans="1:26">
      <c r="A46">
        <f t="shared" ca="1" si="18"/>
        <v>27</v>
      </c>
      <c r="B46">
        <f t="shared" ca="1" si="4"/>
        <v>3</v>
      </c>
      <c r="C46" s="43">
        <f t="shared" ca="1" si="5"/>
        <v>2.0833333333333333E-3</v>
      </c>
      <c r="D46">
        <f t="shared" ca="1" si="0"/>
        <v>9</v>
      </c>
      <c r="E46" s="43">
        <f t="shared" ca="1" si="6"/>
        <v>6.2500000000000003E-3</v>
      </c>
      <c r="F46" s="43">
        <f t="shared" ca="1" si="1"/>
        <v>0.41736111111111096</v>
      </c>
      <c r="G46" s="43">
        <f t="shared" ca="1" si="20"/>
        <v>1.388888888888995E-3</v>
      </c>
      <c r="H46" t="str">
        <f t="shared" ca="1" si="2"/>
        <v/>
      </c>
      <c r="I46" s="43" t="str">
        <f t="shared" ca="1" si="3"/>
        <v/>
      </c>
      <c r="J46" s="43">
        <f ca="1">IF(ISTEXT($F46),"",MAX($P$19:P45,$F46))</f>
        <v>0.4277777777777777</v>
      </c>
      <c r="K46" s="43">
        <f ca="1">IF(ISTEXT($F46),"",MAX($R$19:R45,$F46))</f>
        <v>0.42569444444444449</v>
      </c>
      <c r="L46" s="43">
        <f t="shared" ca="1" si="21"/>
        <v>0.41874999999999996</v>
      </c>
      <c r="M46" s="43">
        <f t="shared" ca="1" si="22"/>
        <v>0.41874999999999996</v>
      </c>
      <c r="N46">
        <f t="shared" ca="1" si="19"/>
        <v>3</v>
      </c>
      <c r="O46" s="43" t="str">
        <f t="shared" ca="1" si="7"/>
        <v/>
      </c>
      <c r="P46" s="43">
        <f t="shared" ca="1" si="8"/>
        <v>0.4277777777777777</v>
      </c>
      <c r="Q46" s="43" t="str">
        <f t="shared" ca="1" si="9"/>
        <v/>
      </c>
      <c r="R46" s="43">
        <f t="shared" ca="1" si="10"/>
        <v>0.42569444444444449</v>
      </c>
      <c r="S46" s="43">
        <f t="shared" ca="1" si="11"/>
        <v>0.41874999999999996</v>
      </c>
      <c r="T46" s="43">
        <f t="shared" ca="1" si="12"/>
        <v>0.42499999999999993</v>
      </c>
      <c r="U46" s="43" t="str">
        <f t="shared" ca="1" si="13"/>
        <v/>
      </c>
      <c r="V46" s="43">
        <f t="shared" ca="1" si="14"/>
        <v>0.41874999999999996</v>
      </c>
      <c r="W46" s="43">
        <f t="shared" ca="1" si="15"/>
        <v>7.6388888888889728E-3</v>
      </c>
      <c r="X46" s="43">
        <f t="shared" ca="1" si="16"/>
        <v>7.6388888888889953E-3</v>
      </c>
      <c r="Y46" s="43">
        <f t="shared" ca="1" si="17"/>
        <v>0.42499999999999993</v>
      </c>
      <c r="Z46">
        <f ca="1">COUNTIF($M$19:$M45,"&gt;"&amp;$F46)</f>
        <v>0</v>
      </c>
    </row>
    <row r="47" spans="1:26">
      <c r="A47">
        <f ca="1">IF(ISTEXT(F47),"закрыто",A46+1)</f>
        <v>28</v>
      </c>
      <c r="B47">
        <f t="shared" ca="1" si="4"/>
        <v>1</v>
      </c>
      <c r="C47" s="43">
        <f t="shared" ca="1" si="5"/>
        <v>6.9444444444444447E-4</v>
      </c>
      <c r="D47">
        <f t="shared" ca="1" si="0"/>
        <v>7</v>
      </c>
      <c r="E47" s="43">
        <f t="shared" ca="1" si="6"/>
        <v>4.8611111111111112E-3</v>
      </c>
      <c r="F47" s="43">
        <f t="shared" ca="1" si="1"/>
        <v>0.4180555555555554</v>
      </c>
      <c r="G47" s="43">
        <f t="shared" ca="1" si="20"/>
        <v>6.9444444444445308E-3</v>
      </c>
      <c r="H47" t="str">
        <f t="shared" ca="1" si="2"/>
        <v>ушел</v>
      </c>
      <c r="I47" s="43">
        <f t="shared" ca="1" si="3"/>
        <v>0.42083333333333317</v>
      </c>
      <c r="J47" s="43">
        <f ca="1">IF(ISTEXT($F47),"",MAX($P$19:P46,$F47))</f>
        <v>0.4277777777777777</v>
      </c>
      <c r="K47" s="43">
        <f ca="1">IF(ISTEXT($F47),"",MAX($R$19:R46,$F47))</f>
        <v>0.42569444444444449</v>
      </c>
      <c r="L47" s="43">
        <f t="shared" ca="1" si="21"/>
        <v>0.42499999999999993</v>
      </c>
      <c r="M47" s="43">
        <f t="shared" ca="1" si="22"/>
        <v>0.42499999999999993</v>
      </c>
      <c r="N47" t="str">
        <f t="shared" ca="1" si="19"/>
        <v/>
      </c>
      <c r="O47" s="43" t="str">
        <f t="shared" ca="1" si="7"/>
        <v/>
      </c>
      <c r="P47" s="43">
        <f t="shared" ca="1" si="8"/>
        <v>0.4277777777777777</v>
      </c>
      <c r="Q47" s="43" t="str">
        <f t="shared" ca="1" si="9"/>
        <v/>
      </c>
      <c r="R47" s="43">
        <f t="shared" ca="1" si="10"/>
        <v>0.42569444444444449</v>
      </c>
      <c r="S47" s="43" t="str">
        <f t="shared" ca="1" si="11"/>
        <v/>
      </c>
      <c r="T47" s="43">
        <f t="shared" ca="1" si="12"/>
        <v>0.42499999999999993</v>
      </c>
      <c r="U47" s="43">
        <f t="shared" ca="1" si="13"/>
        <v>2.7777777777777679E-3</v>
      </c>
      <c r="V47" s="43" t="str">
        <f t="shared" ca="1" si="14"/>
        <v/>
      </c>
      <c r="W47" s="43">
        <f t="shared" ca="1" si="15"/>
        <v>2.7777777777777679E-3</v>
      </c>
      <c r="X47" s="43">
        <f t="shared" ca="1" si="16"/>
        <v>2.7777777777777679E-3</v>
      </c>
      <c r="Y47" s="43">
        <f t="shared" ca="1" si="17"/>
        <v>0.42083333333333317</v>
      </c>
      <c r="Z47">
        <f ca="1">COUNTIF($M$19:$M46,"&gt;"&amp;$F47)</f>
        <v>1</v>
      </c>
    </row>
    <row r="48" spans="1:26">
      <c r="A48">
        <f t="shared" ca="1" si="18"/>
        <v>29</v>
      </c>
      <c r="B48">
        <f t="shared" ca="1" si="4"/>
        <v>1</v>
      </c>
      <c r="C48" s="43">
        <f t="shared" ca="1" si="5"/>
        <v>6.9444444444444447E-4</v>
      </c>
      <c r="D48">
        <f t="shared" ca="1" si="0"/>
        <v>17</v>
      </c>
      <c r="E48" s="43">
        <f t="shared" ca="1" si="6"/>
        <v>1.1805555555555555E-2</v>
      </c>
      <c r="F48" s="43">
        <f t="shared" ca="1" si="1"/>
        <v>0.41874999999999984</v>
      </c>
      <c r="G48" s="43">
        <f t="shared" ca="1" si="20"/>
        <v>6.2500000000000888E-3</v>
      </c>
      <c r="H48" t="str">
        <f t="shared" ca="1" si="2"/>
        <v>ушел</v>
      </c>
      <c r="I48" s="43">
        <f t="shared" ca="1" si="3"/>
        <v>0.42152777777777761</v>
      </c>
      <c r="J48" s="43">
        <f ca="1">IF(ISTEXT($F48),"",MAX($P$19:P47,$F48))</f>
        <v>0.4277777777777777</v>
      </c>
      <c r="K48" s="43">
        <f ca="1">IF(ISTEXT($F48),"",MAX($R$19:R47,$F48))</f>
        <v>0.42569444444444449</v>
      </c>
      <c r="L48" s="43">
        <f t="shared" ca="1" si="21"/>
        <v>0.42499999999999993</v>
      </c>
      <c r="M48" s="43">
        <f t="shared" ca="1" si="22"/>
        <v>0.42499999999999993</v>
      </c>
      <c r="N48" t="str">
        <f t="shared" ca="1" si="19"/>
        <v/>
      </c>
      <c r="O48" s="43" t="str">
        <f t="shared" ca="1" si="7"/>
        <v/>
      </c>
      <c r="P48" s="43">
        <f t="shared" ca="1" si="8"/>
        <v>0.4277777777777777</v>
      </c>
      <c r="Q48" s="43" t="str">
        <f t="shared" ca="1" si="9"/>
        <v/>
      </c>
      <c r="R48" s="43">
        <f t="shared" ca="1" si="10"/>
        <v>0.42569444444444449</v>
      </c>
      <c r="S48" s="43" t="str">
        <f t="shared" ca="1" si="11"/>
        <v/>
      </c>
      <c r="T48" s="43">
        <f t="shared" ca="1" si="12"/>
        <v>0.42499999999999993</v>
      </c>
      <c r="U48" s="43">
        <f t="shared" ca="1" si="13"/>
        <v>2.7777777777777679E-3</v>
      </c>
      <c r="V48" s="43" t="str">
        <f t="shared" ca="1" si="14"/>
        <v/>
      </c>
      <c r="W48" s="43">
        <f t="shared" ca="1" si="15"/>
        <v>2.7777777777777679E-3</v>
      </c>
      <c r="X48" s="43">
        <f t="shared" ca="1" si="16"/>
        <v>2.7777777777777679E-3</v>
      </c>
      <c r="Y48" s="43">
        <f t="shared" ca="1" si="17"/>
        <v>0.42152777777777761</v>
      </c>
      <c r="Z48">
        <f ca="1">COUNTIF($M$19:$M47,"&gt;"&amp;$F48)</f>
        <v>1</v>
      </c>
    </row>
    <row r="49" spans="1:26">
      <c r="A49">
        <f t="shared" ca="1" si="18"/>
        <v>30</v>
      </c>
      <c r="B49">
        <f t="shared" ca="1" si="4"/>
        <v>1</v>
      </c>
      <c r="C49" s="43">
        <f t="shared" ca="1" si="5"/>
        <v>6.9444444444444447E-4</v>
      </c>
      <c r="D49">
        <f t="shared" ca="1" si="0"/>
        <v>17</v>
      </c>
      <c r="E49" s="43">
        <f t="shared" ca="1" si="6"/>
        <v>1.1805555555555555E-2</v>
      </c>
      <c r="F49" s="43">
        <f t="shared" ca="1" si="1"/>
        <v>0.41944444444444429</v>
      </c>
      <c r="G49" s="43">
        <f t="shared" ca="1" si="20"/>
        <v>5.5555555555556468E-3</v>
      </c>
      <c r="H49" t="str">
        <f t="shared" ca="1" si="2"/>
        <v>ушел</v>
      </c>
      <c r="I49" s="43">
        <f t="shared" ca="1" si="3"/>
        <v>0.42222222222222205</v>
      </c>
      <c r="J49" s="43">
        <f ca="1">IF(ISTEXT($F49),"",MAX($P$19:P48,$F49))</f>
        <v>0.4277777777777777</v>
      </c>
      <c r="K49" s="43">
        <f ca="1">IF(ISTEXT($F49),"",MAX($R$19:R48,$F49))</f>
        <v>0.42569444444444449</v>
      </c>
      <c r="L49" s="43">
        <f t="shared" ca="1" si="21"/>
        <v>0.42499999999999993</v>
      </c>
      <c r="M49" s="43">
        <f t="shared" ca="1" si="22"/>
        <v>0.42499999999999993</v>
      </c>
      <c r="N49" t="str">
        <f t="shared" ca="1" si="19"/>
        <v/>
      </c>
      <c r="O49" s="43" t="str">
        <f t="shared" ca="1" si="7"/>
        <v/>
      </c>
      <c r="P49" s="43">
        <f t="shared" ca="1" si="8"/>
        <v>0.4277777777777777</v>
      </c>
      <c r="Q49" s="43" t="str">
        <f t="shared" ca="1" si="9"/>
        <v/>
      </c>
      <c r="R49" s="43">
        <f t="shared" ca="1" si="10"/>
        <v>0.42569444444444449</v>
      </c>
      <c r="S49" s="43" t="str">
        <f t="shared" ca="1" si="11"/>
        <v/>
      </c>
      <c r="T49" s="43">
        <f t="shared" ca="1" si="12"/>
        <v>0.42499999999999993</v>
      </c>
      <c r="U49" s="43">
        <f t="shared" ca="1" si="13"/>
        <v>2.7777777777777679E-3</v>
      </c>
      <c r="V49" s="43" t="str">
        <f t="shared" ca="1" si="14"/>
        <v/>
      </c>
      <c r="W49" s="43">
        <f t="shared" ca="1" si="15"/>
        <v>2.7777777777777679E-3</v>
      </c>
      <c r="X49" s="43">
        <f t="shared" ca="1" si="16"/>
        <v>2.7777777777777679E-3</v>
      </c>
      <c r="Y49" s="43">
        <f t="shared" ca="1" si="17"/>
        <v>0.42222222222222205</v>
      </c>
      <c r="Z49">
        <f ca="1">COUNTIF($M$19:$M48,"&gt;"&amp;$F49)</f>
        <v>2</v>
      </c>
    </row>
    <row r="50" spans="1:26">
      <c r="A50">
        <f t="shared" ca="1" si="18"/>
        <v>31</v>
      </c>
      <c r="B50">
        <f t="shared" ca="1" si="4"/>
        <v>3</v>
      </c>
      <c r="C50" s="43">
        <f t="shared" ca="1" si="5"/>
        <v>2.0833333333333333E-3</v>
      </c>
      <c r="D50">
        <f t="shared" ca="1" si="0"/>
        <v>9</v>
      </c>
      <c r="E50" s="43">
        <f t="shared" ca="1" si="6"/>
        <v>6.2500000000000003E-3</v>
      </c>
      <c r="F50" s="43">
        <f t="shared" ca="1" si="1"/>
        <v>0.42152777777777761</v>
      </c>
      <c r="G50" s="43">
        <f t="shared" ca="1" si="20"/>
        <v>3.4722222222223209E-3</v>
      </c>
      <c r="H50" t="str">
        <f t="shared" ca="1" si="2"/>
        <v>ушел</v>
      </c>
      <c r="I50" s="43">
        <f t="shared" ca="1" si="3"/>
        <v>0.42430555555555538</v>
      </c>
      <c r="J50" s="43">
        <f ca="1">IF(ISTEXT($F50),"",MAX($P$19:P49,$F50))</f>
        <v>0.4277777777777777</v>
      </c>
      <c r="K50" s="43">
        <f ca="1">IF(ISTEXT($F50),"",MAX($R$19:R49,$F50))</f>
        <v>0.42569444444444449</v>
      </c>
      <c r="L50" s="43">
        <f t="shared" ca="1" si="21"/>
        <v>0.42499999999999993</v>
      </c>
      <c r="M50" s="43">
        <f t="shared" ca="1" si="22"/>
        <v>0.42499999999999993</v>
      </c>
      <c r="N50" t="str">
        <f t="shared" ca="1" si="19"/>
        <v/>
      </c>
      <c r="O50" s="43" t="str">
        <f t="shared" ca="1" si="7"/>
        <v/>
      </c>
      <c r="P50" s="43">
        <f t="shared" ca="1" si="8"/>
        <v>0.4277777777777777</v>
      </c>
      <c r="Q50" s="43" t="str">
        <f t="shared" ca="1" si="9"/>
        <v/>
      </c>
      <c r="R50" s="43">
        <f t="shared" ca="1" si="10"/>
        <v>0.42569444444444449</v>
      </c>
      <c r="S50" s="43" t="str">
        <f t="shared" ca="1" si="11"/>
        <v/>
      </c>
      <c r="T50" s="43">
        <f t="shared" ca="1" si="12"/>
        <v>0.42499999999999993</v>
      </c>
      <c r="U50" s="43">
        <f t="shared" ca="1" si="13"/>
        <v>2.7777777777777679E-3</v>
      </c>
      <c r="V50" s="43" t="str">
        <f t="shared" ca="1" si="14"/>
        <v/>
      </c>
      <c r="W50" s="43">
        <f t="shared" ca="1" si="15"/>
        <v>2.7777777777777679E-3</v>
      </c>
      <c r="X50" s="43">
        <f t="shared" ca="1" si="16"/>
        <v>2.7777777777777679E-3</v>
      </c>
      <c r="Y50" s="43">
        <f t="shared" ca="1" si="17"/>
        <v>0.42430555555555538</v>
      </c>
      <c r="Z50">
        <f ca="1">COUNTIF($M$19:$M49,"&gt;"&amp;$F50)</f>
        <v>3</v>
      </c>
    </row>
    <row r="51" spans="1:26">
      <c r="A51">
        <f t="shared" ca="1" si="18"/>
        <v>32</v>
      </c>
      <c r="B51">
        <f t="shared" ca="1" si="4"/>
        <v>2</v>
      </c>
      <c r="C51" s="43">
        <f t="shared" ca="1" si="5"/>
        <v>1.3888888888888889E-3</v>
      </c>
      <c r="D51">
        <f t="shared" ca="1" si="0"/>
        <v>9</v>
      </c>
      <c r="E51" s="43">
        <f t="shared" ca="1" si="6"/>
        <v>6.2500000000000003E-3</v>
      </c>
      <c r="F51" s="43">
        <f t="shared" ca="1" si="1"/>
        <v>0.4229166666666665</v>
      </c>
      <c r="G51" s="43">
        <f t="shared" ca="1" si="20"/>
        <v>2.083333333333437E-3</v>
      </c>
      <c r="H51" t="str">
        <f t="shared" ca="1" si="2"/>
        <v/>
      </c>
      <c r="I51" s="43" t="str">
        <f t="shared" ca="1" si="3"/>
        <v/>
      </c>
      <c r="J51" s="43">
        <f ca="1">IF(ISTEXT($F51),"",MAX($P$19:P50,$F51))</f>
        <v>0.4277777777777777</v>
      </c>
      <c r="K51" s="43">
        <f ca="1">IF(ISTEXT($F51),"",MAX($R$19:R50,$F51))</f>
        <v>0.42569444444444449</v>
      </c>
      <c r="L51" s="43">
        <f t="shared" ca="1" si="21"/>
        <v>0.42499999999999993</v>
      </c>
      <c r="M51" s="43">
        <f t="shared" ca="1" si="22"/>
        <v>0.42499999999999993</v>
      </c>
      <c r="N51">
        <f t="shared" ca="1" si="19"/>
        <v>3</v>
      </c>
      <c r="O51" s="43" t="str">
        <f t="shared" ca="1" si="7"/>
        <v/>
      </c>
      <c r="P51" s="43">
        <f t="shared" ca="1" si="8"/>
        <v>0.4277777777777777</v>
      </c>
      <c r="Q51" s="43" t="str">
        <f t="shared" ca="1" si="9"/>
        <v/>
      </c>
      <c r="R51" s="43">
        <f t="shared" ca="1" si="10"/>
        <v>0.42569444444444449</v>
      </c>
      <c r="S51" s="43">
        <f t="shared" ca="1" si="11"/>
        <v>0.42499999999999993</v>
      </c>
      <c r="T51" s="43">
        <f t="shared" ca="1" si="12"/>
        <v>0.43124999999999991</v>
      </c>
      <c r="U51" s="43" t="str">
        <f t="shared" ca="1" si="13"/>
        <v/>
      </c>
      <c r="V51" s="43">
        <f t="shared" ca="1" si="14"/>
        <v>0.42499999999999993</v>
      </c>
      <c r="W51" s="43">
        <f t="shared" ca="1" si="15"/>
        <v>8.3333333333334147E-3</v>
      </c>
      <c r="X51" s="43">
        <f t="shared" ca="1" si="16"/>
        <v>8.3333333333334373E-3</v>
      </c>
      <c r="Y51" s="43">
        <f t="shared" ca="1" si="17"/>
        <v>0.43124999999999991</v>
      </c>
      <c r="Z51">
        <f ca="1">COUNTIF($M$19:$M50,"&gt;"&amp;$F51)</f>
        <v>4</v>
      </c>
    </row>
    <row r="52" spans="1:26">
      <c r="A52">
        <f t="shared" ca="1" si="18"/>
        <v>33</v>
      </c>
      <c r="B52">
        <f t="shared" ca="1" si="4"/>
        <v>1</v>
      </c>
      <c r="C52" s="43">
        <f t="shared" ca="1" si="5"/>
        <v>6.9444444444444447E-4</v>
      </c>
      <c r="D52">
        <f t="shared" ref="D52:D115" ca="1" si="23">VLOOKUP(RAND(),SRVT,3)</f>
        <v>9</v>
      </c>
      <c r="E52" s="43">
        <f t="shared" ca="1" si="6"/>
        <v>6.2500000000000003E-3</v>
      </c>
      <c r="F52" s="43">
        <f t="shared" ref="F52:F115" ca="1" si="24">IF(ISTEXT(F51),"",IF(F51+ C52&gt;=closed,"закрыто",F51+C52))</f>
        <v>0.42361111111111094</v>
      </c>
      <c r="G52" s="43">
        <f t="shared" ca="1" si="20"/>
        <v>2.083333333333548E-3</v>
      </c>
      <c r="H52" t="str">
        <f t="shared" ref="H52:H115" ca="1" si="25">IF(G52&gt;(renegat/1440),"ушел","")</f>
        <v/>
      </c>
      <c r="I52" s="43" t="str">
        <f t="shared" ref="I52:I115" ca="1" si="26">IF(H52="ушел",F52+(renegat/1440),"")</f>
        <v/>
      </c>
      <c r="J52" s="43">
        <f ca="1">IF(ISTEXT($F52),"",MAX($P$19:P51,$F52))</f>
        <v>0.4277777777777777</v>
      </c>
      <c r="K52" s="43">
        <f ca="1">IF(ISTEXT($F52),"",MAX($R$19:R51,$F52))</f>
        <v>0.42569444444444449</v>
      </c>
      <c r="L52" s="43">
        <f t="shared" ca="1" si="21"/>
        <v>0.43124999999999991</v>
      </c>
      <c r="M52" s="43">
        <f t="shared" ca="1" si="22"/>
        <v>0.42569444444444449</v>
      </c>
      <c r="N52">
        <f t="shared" ca="1" si="19"/>
        <v>2</v>
      </c>
      <c r="O52" s="43" t="str">
        <f t="shared" ca="1" si="7"/>
        <v/>
      </c>
      <c r="P52" s="43">
        <f t="shared" ca="1" si="8"/>
        <v>0.4277777777777777</v>
      </c>
      <c r="Q52" s="43">
        <f t="shared" ca="1" si="9"/>
        <v>0.42569444444444449</v>
      </c>
      <c r="R52" s="43">
        <f t="shared" ca="1" si="10"/>
        <v>0.43194444444444446</v>
      </c>
      <c r="S52" s="43" t="str">
        <f t="shared" ca="1" si="11"/>
        <v/>
      </c>
      <c r="T52" s="43">
        <f t="shared" ca="1" si="12"/>
        <v>0.43124999999999991</v>
      </c>
      <c r="U52" s="43" t="str">
        <f t="shared" ca="1" si="13"/>
        <v/>
      </c>
      <c r="V52" s="43">
        <f t="shared" ca="1" si="14"/>
        <v>0.42569444444444449</v>
      </c>
      <c r="W52" s="43">
        <f t="shared" ca="1" si="15"/>
        <v>8.3333333333335258E-3</v>
      </c>
      <c r="X52" s="43">
        <f t="shared" ca="1" si="16"/>
        <v>8.3333333333335483E-3</v>
      </c>
      <c r="Y52" s="43">
        <f t="shared" ca="1" si="17"/>
        <v>0.43194444444444446</v>
      </c>
      <c r="Z52">
        <f ca="1">COUNTIF($M$19:$M51,"&gt;"&amp;$F52)</f>
        <v>5</v>
      </c>
    </row>
    <row r="53" spans="1:26">
      <c r="A53">
        <f t="shared" ca="1" si="18"/>
        <v>34</v>
      </c>
      <c r="B53">
        <f t="shared" ca="1" si="4"/>
        <v>3</v>
      </c>
      <c r="C53" s="43">
        <f t="shared" ca="1" si="5"/>
        <v>2.0833333333333333E-3</v>
      </c>
      <c r="D53">
        <f t="shared" ca="1" si="23"/>
        <v>3</v>
      </c>
      <c r="E53" s="43">
        <f t="shared" ca="1" si="6"/>
        <v>2.0833333333333333E-3</v>
      </c>
      <c r="F53" s="43">
        <f t="shared" ca="1" si="24"/>
        <v>0.42569444444444426</v>
      </c>
      <c r="G53" s="43">
        <f t="shared" ca="1" si="20"/>
        <v>2.083333333333437E-3</v>
      </c>
      <c r="H53" t="str">
        <f t="shared" ca="1" si="25"/>
        <v/>
      </c>
      <c r="I53" s="43" t="str">
        <f t="shared" ca="1" si="26"/>
        <v/>
      </c>
      <c r="J53" s="43">
        <f ca="1">IF(ISTEXT($F53),"",MAX($P$19:P52,$F53))</f>
        <v>0.4277777777777777</v>
      </c>
      <c r="K53" s="43">
        <f ca="1">IF(ISTEXT($F53),"",MAX($R$19:R52,$F53))</f>
        <v>0.43194444444444446</v>
      </c>
      <c r="L53" s="43">
        <f t="shared" ca="1" si="21"/>
        <v>0.43124999999999991</v>
      </c>
      <c r="M53" s="43">
        <f t="shared" ca="1" si="22"/>
        <v>0.4277777777777777</v>
      </c>
      <c r="N53">
        <f t="shared" ca="1" si="19"/>
        <v>1</v>
      </c>
      <c r="O53" s="43">
        <f t="shared" ca="1" si="7"/>
        <v>0.4277777777777777</v>
      </c>
      <c r="P53" s="43">
        <f t="shared" ca="1" si="8"/>
        <v>0.42986111111111103</v>
      </c>
      <c r="Q53" s="43" t="str">
        <f t="shared" ca="1" si="9"/>
        <v/>
      </c>
      <c r="R53" s="43">
        <f t="shared" ca="1" si="10"/>
        <v>0.43194444444444446</v>
      </c>
      <c r="S53" s="43" t="str">
        <f t="shared" ca="1" si="11"/>
        <v/>
      </c>
      <c r="T53" s="43">
        <f t="shared" ca="1" si="12"/>
        <v>0.43124999999999991</v>
      </c>
      <c r="U53" s="43" t="str">
        <f t="shared" ca="1" si="13"/>
        <v/>
      </c>
      <c r="V53" s="43">
        <f t="shared" ca="1" si="14"/>
        <v>0.4277777777777777</v>
      </c>
      <c r="W53" s="43">
        <f t="shared" ca="1" si="15"/>
        <v>4.1666666666667629E-3</v>
      </c>
      <c r="X53" s="43">
        <f t="shared" ca="1" si="16"/>
        <v>4.1666666666667698E-3</v>
      </c>
      <c r="Y53" s="43">
        <f t="shared" ca="1" si="17"/>
        <v>0.42986111111111103</v>
      </c>
      <c r="Z53">
        <f ca="1">COUNTIF($M$19:$M52,"&gt;"&amp;$F53)</f>
        <v>0</v>
      </c>
    </row>
    <row r="54" spans="1:26">
      <c r="A54">
        <f ca="1">IF(ISTEXT(F54),"закрыто",A53+1)</f>
        <v>35</v>
      </c>
      <c r="B54">
        <f t="shared" ca="1" si="4"/>
        <v>3</v>
      </c>
      <c r="C54" s="43">
        <f t="shared" ca="1" si="5"/>
        <v>2.0833333333333333E-3</v>
      </c>
      <c r="D54">
        <f t="shared" ca="1" si="23"/>
        <v>17</v>
      </c>
      <c r="E54" s="43">
        <f t="shared" ca="1" si="6"/>
        <v>1.1805555555555555E-2</v>
      </c>
      <c r="F54" s="43">
        <f t="shared" ca="1" si="24"/>
        <v>0.42777777777777759</v>
      </c>
      <c r="G54" s="43">
        <f t="shared" ca="1" si="20"/>
        <v>2.083333333333437E-3</v>
      </c>
      <c r="H54" t="str">
        <f t="shared" ca="1" si="25"/>
        <v/>
      </c>
      <c r="I54" s="43" t="str">
        <f t="shared" ca="1" si="26"/>
        <v/>
      </c>
      <c r="J54" s="43">
        <f ca="1">IF(ISTEXT($F54),"",MAX($P$19:P53,$F54))</f>
        <v>0.42986111111111103</v>
      </c>
      <c r="K54" s="43">
        <f ca="1">IF(ISTEXT($F54),"",MAX($R$19:R53,$F54))</f>
        <v>0.43194444444444446</v>
      </c>
      <c r="L54" s="43">
        <f t="shared" ca="1" si="21"/>
        <v>0.43124999999999991</v>
      </c>
      <c r="M54" s="43">
        <f t="shared" ca="1" si="22"/>
        <v>0.42986111111111103</v>
      </c>
      <c r="N54">
        <f t="shared" ca="1" si="19"/>
        <v>1</v>
      </c>
      <c r="O54" s="43">
        <f t="shared" ca="1" si="7"/>
        <v>0.42986111111111103</v>
      </c>
      <c r="P54" s="43">
        <f t="shared" ca="1" si="8"/>
        <v>0.4416666666666666</v>
      </c>
      <c r="Q54" s="43" t="str">
        <f t="shared" ca="1" si="9"/>
        <v/>
      </c>
      <c r="R54" s="43">
        <f t="shared" ca="1" si="10"/>
        <v>0.43194444444444446</v>
      </c>
      <c r="S54" s="43" t="str">
        <f t="shared" ca="1" si="11"/>
        <v/>
      </c>
      <c r="T54" s="43">
        <f t="shared" ca="1" si="12"/>
        <v>0.43124999999999991</v>
      </c>
      <c r="U54" s="43" t="str">
        <f t="shared" ca="1" si="13"/>
        <v/>
      </c>
      <c r="V54" s="43">
        <f t="shared" ca="1" si="14"/>
        <v>0.42986111111111103</v>
      </c>
      <c r="W54" s="43">
        <f t="shared" ca="1" si="15"/>
        <v>1.3888888888889006E-2</v>
      </c>
      <c r="X54" s="43">
        <f t="shared" ca="1" si="16"/>
        <v>1.3888888888888992E-2</v>
      </c>
      <c r="Y54" s="43">
        <f t="shared" ca="1" si="17"/>
        <v>0.4416666666666666</v>
      </c>
      <c r="Z54">
        <f ca="1">COUNTIF($M$19:$M53,"&gt;"&amp;$F54)</f>
        <v>0</v>
      </c>
    </row>
    <row r="55" spans="1:26">
      <c r="A55">
        <f t="shared" ca="1" si="18"/>
        <v>36</v>
      </c>
      <c r="B55">
        <f t="shared" ca="1" si="4"/>
        <v>2</v>
      </c>
      <c r="C55" s="43">
        <f t="shared" ca="1" si="5"/>
        <v>1.3888888888888889E-3</v>
      </c>
      <c r="D55">
        <f t="shared" ca="1" si="23"/>
        <v>17</v>
      </c>
      <c r="E55" s="43">
        <f t="shared" ca="1" si="6"/>
        <v>1.1805555555555555E-2</v>
      </c>
      <c r="F55" s="43">
        <f t="shared" ca="1" si="24"/>
        <v>0.42916666666666647</v>
      </c>
      <c r="G55" s="43">
        <f t="shared" ca="1" si="20"/>
        <v>2.083333333333437E-3</v>
      </c>
      <c r="H55" t="str">
        <f t="shared" ca="1" si="25"/>
        <v/>
      </c>
      <c r="I55" s="43" t="str">
        <f t="shared" ca="1" si="26"/>
        <v/>
      </c>
      <c r="J55" s="43">
        <f ca="1">IF(ISTEXT($F55),"",MAX($P$19:P54,$F55))</f>
        <v>0.4416666666666666</v>
      </c>
      <c r="K55" s="43">
        <f ca="1">IF(ISTEXT($F55),"",MAX($R$19:R54,$F55))</f>
        <v>0.43194444444444446</v>
      </c>
      <c r="L55" s="43">
        <f t="shared" ca="1" si="21"/>
        <v>0.43124999999999991</v>
      </c>
      <c r="M55" s="43">
        <f t="shared" ca="1" si="22"/>
        <v>0.43124999999999991</v>
      </c>
      <c r="N55">
        <f t="shared" ca="1" si="19"/>
        <v>3</v>
      </c>
      <c r="O55" s="43" t="str">
        <f t="shared" ca="1" si="7"/>
        <v/>
      </c>
      <c r="P55" s="43">
        <f t="shared" ca="1" si="8"/>
        <v>0.4416666666666666</v>
      </c>
      <c r="Q55" s="43" t="str">
        <f t="shared" ca="1" si="9"/>
        <v/>
      </c>
      <c r="R55" s="43">
        <f t="shared" ca="1" si="10"/>
        <v>0.43194444444444446</v>
      </c>
      <c r="S55" s="43">
        <f t="shared" ca="1" si="11"/>
        <v>0.43124999999999991</v>
      </c>
      <c r="T55" s="43">
        <f t="shared" ca="1" si="12"/>
        <v>0.44305555555555548</v>
      </c>
      <c r="U55" s="43" t="str">
        <f t="shared" ca="1" si="13"/>
        <v/>
      </c>
      <c r="V55" s="43">
        <f t="shared" ca="1" si="14"/>
        <v>0.43124999999999991</v>
      </c>
      <c r="W55" s="43">
        <f t="shared" ca="1" si="15"/>
        <v>1.3888888888889006E-2</v>
      </c>
      <c r="X55" s="43">
        <f t="shared" ca="1" si="16"/>
        <v>1.3888888888888992E-2</v>
      </c>
      <c r="Y55" s="43">
        <f t="shared" ca="1" si="17"/>
        <v>0.44305555555555548</v>
      </c>
      <c r="Z55">
        <f ca="1">COUNTIF($M$19:$M54,"&gt;"&amp;$F55)</f>
        <v>1</v>
      </c>
    </row>
    <row r="56" spans="1:26">
      <c r="A56">
        <f t="shared" ca="1" si="18"/>
        <v>37</v>
      </c>
      <c r="B56">
        <f t="shared" ca="1" si="4"/>
        <v>3</v>
      </c>
      <c r="C56" s="43">
        <f t="shared" ca="1" si="5"/>
        <v>2.0833333333333333E-3</v>
      </c>
      <c r="D56">
        <f t="shared" ca="1" si="23"/>
        <v>7</v>
      </c>
      <c r="E56" s="43">
        <f t="shared" ca="1" si="6"/>
        <v>4.8611111111111112E-3</v>
      </c>
      <c r="F56" s="43">
        <f t="shared" ca="1" si="24"/>
        <v>0.4312499999999998</v>
      </c>
      <c r="G56" s="43">
        <f t="shared" ca="1" si="20"/>
        <v>6.9444444444466402E-4</v>
      </c>
      <c r="H56" t="str">
        <f t="shared" ca="1" si="25"/>
        <v/>
      </c>
      <c r="I56" s="43" t="str">
        <f t="shared" ca="1" si="26"/>
        <v/>
      </c>
      <c r="J56" s="43">
        <f ca="1">IF(ISTEXT($F56),"",MAX($P$19:P55,$F56))</f>
        <v>0.4416666666666666</v>
      </c>
      <c r="K56" s="43">
        <f ca="1">IF(ISTEXT($F56),"",MAX($R$19:R55,$F56))</f>
        <v>0.43194444444444446</v>
      </c>
      <c r="L56" s="43">
        <f t="shared" ca="1" si="21"/>
        <v>0.44305555555555548</v>
      </c>
      <c r="M56" s="43">
        <f t="shared" ca="1" si="22"/>
        <v>0.43194444444444446</v>
      </c>
      <c r="N56">
        <f t="shared" ca="1" si="19"/>
        <v>2</v>
      </c>
      <c r="O56" s="43" t="str">
        <f t="shared" ca="1" si="7"/>
        <v/>
      </c>
      <c r="P56" s="43">
        <f t="shared" ca="1" si="8"/>
        <v>0.4416666666666666</v>
      </c>
      <c r="Q56" s="43">
        <f t="shared" ca="1" si="9"/>
        <v>0.43194444444444446</v>
      </c>
      <c r="R56" s="43">
        <f t="shared" ca="1" si="10"/>
        <v>0.43680555555555556</v>
      </c>
      <c r="S56" s="43" t="str">
        <f t="shared" ca="1" si="11"/>
        <v/>
      </c>
      <c r="T56" s="43">
        <f t="shared" ca="1" si="12"/>
        <v>0.44305555555555548</v>
      </c>
      <c r="U56" s="43" t="str">
        <f t="shared" ca="1" si="13"/>
        <v/>
      </c>
      <c r="V56" s="43">
        <f t="shared" ca="1" si="14"/>
        <v>0.43194444444444446</v>
      </c>
      <c r="W56" s="43">
        <f t="shared" ca="1" si="15"/>
        <v>5.5555555555557579E-3</v>
      </c>
      <c r="X56" s="43">
        <f t="shared" ca="1" si="16"/>
        <v>5.5555555555557752E-3</v>
      </c>
      <c r="Y56" s="43">
        <f t="shared" ca="1" si="17"/>
        <v>0.43680555555555556</v>
      </c>
      <c r="Z56">
        <f ca="1">COUNTIF($M$19:$M55,"&gt;"&amp;$F56)</f>
        <v>0</v>
      </c>
    </row>
    <row r="57" spans="1:26">
      <c r="A57">
        <f t="shared" ca="1" si="18"/>
        <v>38</v>
      </c>
      <c r="B57">
        <f t="shared" ca="1" si="4"/>
        <v>1</v>
      </c>
      <c r="C57" s="43">
        <f t="shared" ca="1" si="5"/>
        <v>6.9444444444444447E-4</v>
      </c>
      <c r="D57">
        <f t="shared" ca="1" si="23"/>
        <v>3</v>
      </c>
      <c r="E57" s="43">
        <f t="shared" ca="1" si="6"/>
        <v>2.0833333333333333E-3</v>
      </c>
      <c r="F57" s="43">
        <f t="shared" ca="1" si="24"/>
        <v>0.43194444444444424</v>
      </c>
      <c r="G57" s="43">
        <f t="shared" ca="1" si="20"/>
        <v>4.8611111111113159E-3</v>
      </c>
      <c r="H57" t="str">
        <f t="shared" ca="1" si="25"/>
        <v>ушел</v>
      </c>
      <c r="I57" s="43">
        <f t="shared" ca="1" si="26"/>
        <v>0.43472222222222201</v>
      </c>
      <c r="J57" s="43">
        <f ca="1">IF(ISTEXT($F57),"",MAX($P$19:P56,$F57))</f>
        <v>0.4416666666666666</v>
      </c>
      <c r="K57" s="43">
        <f ca="1">IF(ISTEXT($F57),"",MAX($R$19:R56,$F57))</f>
        <v>0.43680555555555556</v>
      </c>
      <c r="L57" s="43">
        <f t="shared" ca="1" si="21"/>
        <v>0.44305555555555548</v>
      </c>
      <c r="M57" s="43">
        <f t="shared" ca="1" si="22"/>
        <v>0.43680555555555556</v>
      </c>
      <c r="N57" t="str">
        <f t="shared" ca="1" si="19"/>
        <v/>
      </c>
      <c r="O57" s="43" t="str">
        <f t="shared" ca="1" si="7"/>
        <v/>
      </c>
      <c r="P57" s="43">
        <f t="shared" ca="1" si="8"/>
        <v>0.4416666666666666</v>
      </c>
      <c r="Q57" s="43" t="str">
        <f t="shared" ca="1" si="9"/>
        <v/>
      </c>
      <c r="R57" s="43">
        <f t="shared" ca="1" si="10"/>
        <v>0.43680555555555556</v>
      </c>
      <c r="S57" s="43" t="str">
        <f t="shared" ca="1" si="11"/>
        <v/>
      </c>
      <c r="T57" s="43">
        <f t="shared" ca="1" si="12"/>
        <v>0.44305555555555548</v>
      </c>
      <c r="U57" s="43">
        <f t="shared" ca="1" si="13"/>
        <v>2.7777777777777679E-3</v>
      </c>
      <c r="V57" s="43" t="str">
        <f t="shared" ca="1" si="14"/>
        <v/>
      </c>
      <c r="W57" s="43">
        <f t="shared" ca="1" si="15"/>
        <v>2.7777777777777679E-3</v>
      </c>
      <c r="X57" s="43">
        <f t="shared" ca="1" si="16"/>
        <v>2.7777777777777679E-3</v>
      </c>
      <c r="Y57" s="43">
        <f t="shared" ca="1" si="17"/>
        <v>0.43472222222222201</v>
      </c>
      <c r="Z57">
        <f ca="1">COUNTIF($M$19:$M56,"&gt;"&amp;$F57)</f>
        <v>0</v>
      </c>
    </row>
    <row r="58" spans="1:26">
      <c r="A58">
        <f t="shared" ca="1" si="18"/>
        <v>39</v>
      </c>
      <c r="B58">
        <f t="shared" ca="1" si="4"/>
        <v>2</v>
      </c>
      <c r="C58" s="43">
        <f t="shared" ca="1" si="5"/>
        <v>1.3888888888888889E-3</v>
      </c>
      <c r="D58">
        <f t="shared" ca="1" si="23"/>
        <v>3</v>
      </c>
      <c r="E58" s="43">
        <f t="shared" ca="1" si="6"/>
        <v>2.0833333333333333E-3</v>
      </c>
      <c r="F58" s="43">
        <f t="shared" ca="1" si="24"/>
        <v>0.43333333333333313</v>
      </c>
      <c r="G58" s="43">
        <f t="shared" ca="1" si="20"/>
        <v>3.4722222222224319E-3</v>
      </c>
      <c r="H58" t="str">
        <f t="shared" ca="1" si="25"/>
        <v>ушел</v>
      </c>
      <c r="I58" s="43">
        <f t="shared" ca="1" si="26"/>
        <v>0.43611111111111089</v>
      </c>
      <c r="J58" s="43">
        <f ca="1">IF(ISTEXT($F58),"",MAX($P$19:P57,$F58))</f>
        <v>0.4416666666666666</v>
      </c>
      <c r="K58" s="43">
        <f ca="1">IF(ISTEXT($F58),"",MAX($R$19:R57,$F58))</f>
        <v>0.43680555555555556</v>
      </c>
      <c r="L58" s="43">
        <f t="shared" ca="1" si="21"/>
        <v>0.44305555555555548</v>
      </c>
      <c r="M58" s="43">
        <f t="shared" ca="1" si="22"/>
        <v>0.43680555555555556</v>
      </c>
      <c r="N58" t="str">
        <f t="shared" ca="1" si="19"/>
        <v/>
      </c>
      <c r="O58" s="43" t="str">
        <f t="shared" ca="1" si="7"/>
        <v/>
      </c>
      <c r="P58" s="43">
        <f t="shared" ca="1" si="8"/>
        <v>0.4416666666666666</v>
      </c>
      <c r="Q58" s="43" t="str">
        <f t="shared" ca="1" si="9"/>
        <v/>
      </c>
      <c r="R58" s="43">
        <f t="shared" ca="1" si="10"/>
        <v>0.43680555555555556</v>
      </c>
      <c r="S58" s="43" t="str">
        <f t="shared" ca="1" si="11"/>
        <v/>
      </c>
      <c r="T58" s="43">
        <f t="shared" ca="1" si="12"/>
        <v>0.44305555555555548</v>
      </c>
      <c r="U58" s="43">
        <f t="shared" ca="1" si="13"/>
        <v>2.7777777777777679E-3</v>
      </c>
      <c r="V58" s="43" t="str">
        <f t="shared" ca="1" si="14"/>
        <v/>
      </c>
      <c r="W58" s="43">
        <f t="shared" ca="1" si="15"/>
        <v>2.7777777777777679E-3</v>
      </c>
      <c r="X58" s="43">
        <f t="shared" ca="1" si="16"/>
        <v>2.7777777777777679E-3</v>
      </c>
      <c r="Y58" s="43">
        <f t="shared" ca="1" si="17"/>
        <v>0.43611111111111089</v>
      </c>
      <c r="Z58">
        <f ca="1">COUNTIF($M$19:$M57,"&gt;"&amp;$F58)</f>
        <v>1</v>
      </c>
    </row>
    <row r="59" spans="1:26">
      <c r="A59">
        <f t="shared" ca="1" si="18"/>
        <v>40</v>
      </c>
      <c r="B59">
        <f t="shared" ca="1" si="4"/>
        <v>1</v>
      </c>
      <c r="C59" s="43">
        <f t="shared" ca="1" si="5"/>
        <v>6.9444444444444447E-4</v>
      </c>
      <c r="D59">
        <f t="shared" ca="1" si="23"/>
        <v>7</v>
      </c>
      <c r="E59" s="43">
        <f t="shared" ca="1" si="6"/>
        <v>4.8611111111111112E-3</v>
      </c>
      <c r="F59" s="43">
        <f t="shared" ca="1" si="24"/>
        <v>0.43402777777777757</v>
      </c>
      <c r="G59" s="43">
        <f t="shared" ca="1" si="20"/>
        <v>2.77777777777799E-3</v>
      </c>
      <c r="H59" t="str">
        <f t="shared" ca="1" si="25"/>
        <v>ушел</v>
      </c>
      <c r="I59" s="43">
        <f t="shared" ca="1" si="26"/>
        <v>0.43680555555555534</v>
      </c>
      <c r="J59" s="43">
        <f ca="1">IF(ISTEXT($F59),"",MAX($P$19:P58,$F59))</f>
        <v>0.4416666666666666</v>
      </c>
      <c r="K59" s="43">
        <f ca="1">IF(ISTEXT($F59),"",MAX($R$19:R58,$F59))</f>
        <v>0.43680555555555556</v>
      </c>
      <c r="L59" s="43">
        <f t="shared" ca="1" si="21"/>
        <v>0.44305555555555548</v>
      </c>
      <c r="M59" s="43">
        <f t="shared" ca="1" si="22"/>
        <v>0.43680555555555556</v>
      </c>
      <c r="N59" t="str">
        <f t="shared" ca="1" si="19"/>
        <v/>
      </c>
      <c r="O59" s="43" t="str">
        <f t="shared" ca="1" si="7"/>
        <v/>
      </c>
      <c r="P59" s="43">
        <f t="shared" ca="1" si="8"/>
        <v>0.4416666666666666</v>
      </c>
      <c r="Q59" s="43" t="str">
        <f t="shared" ca="1" si="9"/>
        <v/>
      </c>
      <c r="R59" s="43">
        <f t="shared" ca="1" si="10"/>
        <v>0.43680555555555556</v>
      </c>
      <c r="S59" s="43" t="str">
        <f t="shared" ca="1" si="11"/>
        <v/>
      </c>
      <c r="T59" s="43">
        <f t="shared" ca="1" si="12"/>
        <v>0.44305555555555548</v>
      </c>
      <c r="U59" s="43">
        <f t="shared" ca="1" si="13"/>
        <v>2.7777777777777679E-3</v>
      </c>
      <c r="V59" s="43" t="str">
        <f t="shared" ca="1" si="14"/>
        <v/>
      </c>
      <c r="W59" s="43">
        <f t="shared" ca="1" si="15"/>
        <v>2.7777777777777679E-3</v>
      </c>
      <c r="X59" s="43">
        <f t="shared" ca="1" si="16"/>
        <v>2.7777777777777679E-3</v>
      </c>
      <c r="Y59" s="43">
        <f t="shared" ca="1" si="17"/>
        <v>0.43680555555555534</v>
      </c>
      <c r="Z59">
        <f ca="1">COUNTIF($M$19:$M58,"&gt;"&amp;$F59)</f>
        <v>2</v>
      </c>
    </row>
    <row r="60" spans="1:26">
      <c r="A60">
        <f t="shared" ca="1" si="18"/>
        <v>41</v>
      </c>
      <c r="B60">
        <f t="shared" ca="1" si="4"/>
        <v>3</v>
      </c>
      <c r="C60" s="43">
        <f t="shared" ca="1" si="5"/>
        <v>2.0833333333333333E-3</v>
      </c>
      <c r="D60">
        <f t="shared" ca="1" si="23"/>
        <v>9</v>
      </c>
      <c r="E60" s="43">
        <f t="shared" ca="1" si="6"/>
        <v>6.2500000000000003E-3</v>
      </c>
      <c r="F60" s="43">
        <f t="shared" ca="1" si="24"/>
        <v>0.43611111111111089</v>
      </c>
      <c r="G60" s="43">
        <f t="shared" ca="1" si="20"/>
        <v>6.9444444444466402E-4</v>
      </c>
      <c r="H60" t="str">
        <f t="shared" ca="1" si="25"/>
        <v/>
      </c>
      <c r="I60" s="43" t="str">
        <f t="shared" ca="1" si="26"/>
        <v/>
      </c>
      <c r="J60" s="43">
        <f ca="1">IF(ISTEXT($F60),"",MAX($P$19:P59,$F60))</f>
        <v>0.4416666666666666</v>
      </c>
      <c r="K60" s="43">
        <f ca="1">IF(ISTEXT($F60),"",MAX($R$19:R59,$F60))</f>
        <v>0.43680555555555556</v>
      </c>
      <c r="L60" s="43">
        <f t="shared" ca="1" si="21"/>
        <v>0.44305555555555548</v>
      </c>
      <c r="M60" s="43">
        <f t="shared" ca="1" si="22"/>
        <v>0.43680555555555556</v>
      </c>
      <c r="N60">
        <f t="shared" ca="1" si="19"/>
        <v>2</v>
      </c>
      <c r="O60" s="43" t="str">
        <f t="shared" ca="1" si="7"/>
        <v/>
      </c>
      <c r="P60" s="43">
        <f t="shared" ca="1" si="8"/>
        <v>0.4416666666666666</v>
      </c>
      <c r="Q60" s="43">
        <f t="shared" ca="1" si="9"/>
        <v>0.43680555555555556</v>
      </c>
      <c r="R60" s="43">
        <f t="shared" ca="1" si="10"/>
        <v>0.44305555555555554</v>
      </c>
      <c r="S60" s="43" t="str">
        <f t="shared" ca="1" si="11"/>
        <v/>
      </c>
      <c r="T60" s="43">
        <f t="shared" ca="1" si="12"/>
        <v>0.44305555555555548</v>
      </c>
      <c r="U60" s="43" t="str">
        <f t="shared" ca="1" si="13"/>
        <v/>
      </c>
      <c r="V60" s="43">
        <f t="shared" ca="1" si="14"/>
        <v>0.43680555555555556</v>
      </c>
      <c r="W60" s="43">
        <f t="shared" ca="1" si="15"/>
        <v>6.9444444444446418E-3</v>
      </c>
      <c r="X60" s="43">
        <f t="shared" ca="1" si="16"/>
        <v>6.9444444444446644E-3</v>
      </c>
      <c r="Y60" s="43">
        <f t="shared" ca="1" si="17"/>
        <v>0.44305555555555554</v>
      </c>
      <c r="Z60">
        <f ca="1">COUNTIF($M$19:$M59,"&gt;"&amp;$F60)</f>
        <v>3</v>
      </c>
    </row>
    <row r="61" spans="1:26">
      <c r="A61">
        <f t="shared" ca="1" si="18"/>
        <v>42</v>
      </c>
      <c r="B61">
        <f t="shared" ca="1" si="4"/>
        <v>2</v>
      </c>
      <c r="C61" s="43">
        <f t="shared" ca="1" si="5"/>
        <v>1.3888888888888889E-3</v>
      </c>
      <c r="D61">
        <f t="shared" ca="1" si="23"/>
        <v>17</v>
      </c>
      <c r="E61" s="43">
        <f t="shared" ca="1" si="6"/>
        <v>1.1805555555555555E-2</v>
      </c>
      <c r="F61" s="43">
        <f t="shared" ca="1" si="24"/>
        <v>0.43749999999999978</v>
      </c>
      <c r="G61" s="43">
        <f t="shared" ca="1" si="20"/>
        <v>4.1666666666668184E-3</v>
      </c>
      <c r="H61" t="str">
        <f t="shared" ca="1" si="25"/>
        <v>ушел</v>
      </c>
      <c r="I61" s="43">
        <f t="shared" ca="1" si="26"/>
        <v>0.44027777777777755</v>
      </c>
      <c r="J61" s="43">
        <f ca="1">IF(ISTEXT($F61),"",MAX($P$19:P60,$F61))</f>
        <v>0.4416666666666666</v>
      </c>
      <c r="K61" s="43">
        <f ca="1">IF(ISTEXT($F61),"",MAX($R$19:R60,$F61))</f>
        <v>0.44305555555555554</v>
      </c>
      <c r="L61" s="43">
        <f t="shared" ca="1" si="21"/>
        <v>0.44305555555555548</v>
      </c>
      <c r="M61" s="43">
        <f t="shared" ca="1" si="22"/>
        <v>0.4416666666666666</v>
      </c>
      <c r="N61" t="str">
        <f t="shared" ca="1" si="19"/>
        <v/>
      </c>
      <c r="O61" s="43" t="str">
        <f t="shared" ca="1" si="7"/>
        <v/>
      </c>
      <c r="P61" s="43">
        <f t="shared" ca="1" si="8"/>
        <v>0.4416666666666666</v>
      </c>
      <c r="Q61" s="43" t="str">
        <f t="shared" ca="1" si="9"/>
        <v/>
      </c>
      <c r="R61" s="43">
        <f t="shared" ca="1" si="10"/>
        <v>0.44305555555555554</v>
      </c>
      <c r="S61" s="43" t="str">
        <f t="shared" ca="1" si="11"/>
        <v/>
      </c>
      <c r="T61" s="43">
        <f t="shared" ca="1" si="12"/>
        <v>0.44305555555555548</v>
      </c>
      <c r="U61" s="43">
        <f t="shared" ca="1" si="13"/>
        <v>2.7777777777777679E-3</v>
      </c>
      <c r="V61" s="43" t="str">
        <f t="shared" ca="1" si="14"/>
        <v/>
      </c>
      <c r="W61" s="43">
        <f t="shared" ca="1" si="15"/>
        <v>2.7777777777777679E-3</v>
      </c>
      <c r="X61" s="43">
        <f t="shared" ca="1" si="16"/>
        <v>2.7777777777777679E-3</v>
      </c>
      <c r="Y61" s="43">
        <f t="shared" ca="1" si="17"/>
        <v>0.44027777777777755</v>
      </c>
      <c r="Z61">
        <f ca="1">COUNTIF($M$19:$M60,"&gt;"&amp;$F61)</f>
        <v>0</v>
      </c>
    </row>
    <row r="62" spans="1:26">
      <c r="A62">
        <f t="shared" ca="1" si="18"/>
        <v>43</v>
      </c>
      <c r="B62">
        <f t="shared" ca="1" si="4"/>
        <v>2</v>
      </c>
      <c r="C62" s="43">
        <f t="shared" ca="1" si="5"/>
        <v>1.3888888888888889E-3</v>
      </c>
      <c r="D62">
        <f t="shared" ca="1" si="23"/>
        <v>9</v>
      </c>
      <c r="E62" s="43">
        <f t="shared" ca="1" si="6"/>
        <v>6.2500000000000003E-3</v>
      </c>
      <c r="F62" s="43">
        <f t="shared" ca="1" si="24"/>
        <v>0.43888888888888866</v>
      </c>
      <c r="G62" s="43">
        <f t="shared" ca="1" si="20"/>
        <v>2.7777777777779344E-3</v>
      </c>
      <c r="H62" t="str">
        <f t="shared" ca="1" si="25"/>
        <v>ушел</v>
      </c>
      <c r="I62" s="43">
        <f t="shared" ca="1" si="26"/>
        <v>0.44166666666666643</v>
      </c>
      <c r="J62" s="43">
        <f ca="1">IF(ISTEXT($F62),"",MAX($P$19:P61,$F62))</f>
        <v>0.4416666666666666</v>
      </c>
      <c r="K62" s="43">
        <f ca="1">IF(ISTEXT($F62),"",MAX($R$19:R61,$F62))</f>
        <v>0.44305555555555554</v>
      </c>
      <c r="L62" s="43">
        <f t="shared" ca="1" si="21"/>
        <v>0.44305555555555548</v>
      </c>
      <c r="M62" s="43">
        <f t="shared" ca="1" si="22"/>
        <v>0.4416666666666666</v>
      </c>
      <c r="N62" t="str">
        <f t="shared" ca="1" si="19"/>
        <v/>
      </c>
      <c r="O62" s="43" t="str">
        <f t="shared" ca="1" si="7"/>
        <v/>
      </c>
      <c r="P62" s="43">
        <f t="shared" ca="1" si="8"/>
        <v>0.4416666666666666</v>
      </c>
      <c r="Q62" s="43" t="str">
        <f t="shared" ca="1" si="9"/>
        <v/>
      </c>
      <c r="R62" s="43">
        <f t="shared" ca="1" si="10"/>
        <v>0.44305555555555554</v>
      </c>
      <c r="S62" s="43" t="str">
        <f t="shared" ca="1" si="11"/>
        <v/>
      </c>
      <c r="T62" s="43">
        <f t="shared" ca="1" si="12"/>
        <v>0.44305555555555548</v>
      </c>
      <c r="U62" s="43">
        <f t="shared" ca="1" si="13"/>
        <v>2.7777777777777679E-3</v>
      </c>
      <c r="V62" s="43" t="str">
        <f t="shared" ca="1" si="14"/>
        <v/>
      </c>
      <c r="W62" s="43">
        <f t="shared" ca="1" si="15"/>
        <v>2.7777777777777679E-3</v>
      </c>
      <c r="X62" s="43">
        <f t="shared" ca="1" si="16"/>
        <v>2.7777777777777679E-3</v>
      </c>
      <c r="Y62" s="43">
        <f t="shared" ca="1" si="17"/>
        <v>0.44166666666666643</v>
      </c>
      <c r="Z62">
        <f ca="1">COUNTIF($M$19:$M61,"&gt;"&amp;$F62)</f>
        <v>1</v>
      </c>
    </row>
    <row r="63" spans="1:26">
      <c r="A63">
        <f ca="1">IF(ISTEXT(F63),"закрыто",A62+1)</f>
        <v>44</v>
      </c>
      <c r="B63">
        <f t="shared" ca="1" si="4"/>
        <v>2</v>
      </c>
      <c r="C63" s="43">
        <f t="shared" ca="1" si="5"/>
        <v>1.3888888888888889E-3</v>
      </c>
      <c r="D63">
        <f t="shared" ca="1" si="23"/>
        <v>7</v>
      </c>
      <c r="E63" s="43">
        <f t="shared" ca="1" si="6"/>
        <v>4.8611111111111112E-3</v>
      </c>
      <c r="F63" s="43">
        <f t="shared" ca="1" si="24"/>
        <v>0.44027777777777755</v>
      </c>
      <c r="G63" s="43">
        <f t="shared" ca="1" si="20"/>
        <v>1.3888888888890505E-3</v>
      </c>
      <c r="H63" t="str">
        <f t="shared" ca="1" si="25"/>
        <v/>
      </c>
      <c r="I63" s="43" t="str">
        <f t="shared" ca="1" si="26"/>
        <v/>
      </c>
      <c r="J63" s="43">
        <f ca="1">IF(ISTEXT($F63),"",MAX($P$19:P62,$F63))</f>
        <v>0.4416666666666666</v>
      </c>
      <c r="K63" s="43">
        <f ca="1">IF(ISTEXT($F63),"",MAX($R$19:R62,$F63))</f>
        <v>0.44305555555555554</v>
      </c>
      <c r="L63" s="43">
        <f t="shared" ca="1" si="21"/>
        <v>0.44305555555555548</v>
      </c>
      <c r="M63" s="43">
        <f t="shared" ca="1" si="22"/>
        <v>0.4416666666666666</v>
      </c>
      <c r="N63">
        <f t="shared" ca="1" si="19"/>
        <v>1</v>
      </c>
      <c r="O63" s="43">
        <f t="shared" ca="1" si="7"/>
        <v>0.4416666666666666</v>
      </c>
      <c r="P63" s="43">
        <f t="shared" ca="1" si="8"/>
        <v>0.44652777777777769</v>
      </c>
      <c r="Q63" s="43" t="str">
        <f t="shared" ca="1" si="9"/>
        <v/>
      </c>
      <c r="R63" s="43">
        <f t="shared" ca="1" si="10"/>
        <v>0.44305555555555554</v>
      </c>
      <c r="S63" s="43" t="str">
        <f t="shared" ca="1" si="11"/>
        <v/>
      </c>
      <c r="T63" s="43">
        <f t="shared" ca="1" si="12"/>
        <v>0.44305555555555548</v>
      </c>
      <c r="U63" s="43" t="str">
        <f t="shared" ca="1" si="13"/>
        <v/>
      </c>
      <c r="V63" s="43">
        <f t="shared" ca="1" si="14"/>
        <v>0.4416666666666666</v>
      </c>
      <c r="W63" s="43">
        <f t="shared" ca="1" si="15"/>
        <v>6.2500000000001443E-3</v>
      </c>
      <c r="X63" s="43">
        <f t="shared" ca="1" si="16"/>
        <v>6.2500000000001617E-3</v>
      </c>
      <c r="Y63" s="43">
        <f t="shared" ca="1" si="17"/>
        <v>0.44652777777777769</v>
      </c>
      <c r="Z63">
        <f ca="1">COUNTIF($M$19:$M62,"&gt;"&amp;$F63)</f>
        <v>2</v>
      </c>
    </row>
    <row r="64" spans="1:26">
      <c r="A64">
        <f t="shared" ca="1" si="18"/>
        <v>45</v>
      </c>
      <c r="B64">
        <f t="shared" ca="1" si="4"/>
        <v>2</v>
      </c>
      <c r="C64" s="43">
        <f t="shared" ca="1" si="5"/>
        <v>1.3888888888888889E-3</v>
      </c>
      <c r="D64">
        <f t="shared" ca="1" si="23"/>
        <v>7</v>
      </c>
      <c r="E64" s="43">
        <f t="shared" ca="1" si="6"/>
        <v>4.8611111111111112E-3</v>
      </c>
      <c r="F64" s="43">
        <f t="shared" ca="1" si="24"/>
        <v>0.44166666666666643</v>
      </c>
      <c r="G64" s="43">
        <f t="shared" ca="1" si="20"/>
        <v>1.3888888888890505E-3</v>
      </c>
      <c r="H64" t="str">
        <f t="shared" ca="1" si="25"/>
        <v/>
      </c>
      <c r="I64" s="43" t="str">
        <f t="shared" ca="1" si="26"/>
        <v/>
      </c>
      <c r="J64" s="43">
        <f ca="1">IF(ISTEXT($F64),"",MAX($P$19:P63,$F64))</f>
        <v>0.44652777777777769</v>
      </c>
      <c r="K64" s="43">
        <f ca="1">IF(ISTEXT($F64),"",MAX($R$19:R63,$F64))</f>
        <v>0.44305555555555554</v>
      </c>
      <c r="L64" s="43">
        <f t="shared" ca="1" si="21"/>
        <v>0.44305555555555548</v>
      </c>
      <c r="M64" s="43">
        <f t="shared" ca="1" si="22"/>
        <v>0.44305555555555548</v>
      </c>
      <c r="N64">
        <f t="shared" ca="1" si="19"/>
        <v>3</v>
      </c>
      <c r="O64" s="43" t="str">
        <f t="shared" ca="1" si="7"/>
        <v/>
      </c>
      <c r="P64" s="43">
        <f t="shared" ca="1" si="8"/>
        <v>0.44652777777777769</v>
      </c>
      <c r="Q64" s="43" t="str">
        <f t="shared" ca="1" si="9"/>
        <v/>
      </c>
      <c r="R64" s="43">
        <f t="shared" ca="1" si="10"/>
        <v>0.44305555555555554</v>
      </c>
      <c r="S64" s="43">
        <f t="shared" ca="1" si="11"/>
        <v>0.44305555555555548</v>
      </c>
      <c r="T64" s="43">
        <f t="shared" ca="1" si="12"/>
        <v>0.44791666666666657</v>
      </c>
      <c r="U64" s="43" t="str">
        <f t="shared" ca="1" si="13"/>
        <v/>
      </c>
      <c r="V64" s="43">
        <f t="shared" ca="1" si="14"/>
        <v>0.44305555555555548</v>
      </c>
      <c r="W64" s="43">
        <f t="shared" ca="1" si="15"/>
        <v>6.2500000000001443E-3</v>
      </c>
      <c r="X64" s="43">
        <f t="shared" ca="1" si="16"/>
        <v>6.2500000000001617E-3</v>
      </c>
      <c r="Y64" s="43">
        <f t="shared" ca="1" si="17"/>
        <v>0.44791666666666657</v>
      </c>
      <c r="Z64">
        <f ca="1">COUNTIF($M$19:$M63,"&gt;"&amp;$F64)</f>
        <v>3</v>
      </c>
    </row>
    <row r="65" spans="1:26">
      <c r="A65">
        <f t="shared" ca="1" si="18"/>
        <v>46</v>
      </c>
      <c r="B65">
        <f t="shared" ca="1" si="4"/>
        <v>2</v>
      </c>
      <c r="C65" s="43">
        <f t="shared" ca="1" si="5"/>
        <v>1.3888888888888889E-3</v>
      </c>
      <c r="D65">
        <f t="shared" ca="1" si="23"/>
        <v>7</v>
      </c>
      <c r="E65" s="43">
        <f t="shared" ca="1" si="6"/>
        <v>4.8611111111111112E-3</v>
      </c>
      <c r="F65" s="43">
        <f t="shared" ca="1" si="24"/>
        <v>0.44305555555555531</v>
      </c>
      <c r="G65" s="43">
        <f t="shared" ca="1" si="20"/>
        <v>2.2204460492503131E-16</v>
      </c>
      <c r="H65" t="str">
        <f t="shared" ca="1" si="25"/>
        <v/>
      </c>
      <c r="I65" s="43" t="str">
        <f t="shared" ca="1" si="26"/>
        <v/>
      </c>
      <c r="J65" s="43">
        <f ca="1">IF(ISTEXT($F65),"",MAX($P$19:P64,$F65))</f>
        <v>0.44652777777777769</v>
      </c>
      <c r="K65" s="43">
        <f ca="1">IF(ISTEXT($F65),"",MAX($R$19:R64,$F65))</f>
        <v>0.44305555555555554</v>
      </c>
      <c r="L65" s="43">
        <f t="shared" ca="1" si="21"/>
        <v>0.44791666666666657</v>
      </c>
      <c r="M65" s="43">
        <f t="shared" ca="1" si="22"/>
        <v>0.44305555555555554</v>
      </c>
      <c r="N65">
        <f t="shared" ca="1" si="19"/>
        <v>2</v>
      </c>
      <c r="O65" s="43" t="str">
        <f t="shared" ca="1" si="7"/>
        <v/>
      </c>
      <c r="P65" s="43">
        <f t="shared" ca="1" si="8"/>
        <v>0.44652777777777769</v>
      </c>
      <c r="Q65" s="43">
        <f t="shared" ca="1" si="9"/>
        <v>0.44305555555555554</v>
      </c>
      <c r="R65" s="43">
        <f t="shared" ca="1" si="10"/>
        <v>0.44791666666666663</v>
      </c>
      <c r="S65" s="43" t="str">
        <f t="shared" ca="1" si="11"/>
        <v/>
      </c>
      <c r="T65" s="43">
        <f t="shared" ca="1" si="12"/>
        <v>0.44791666666666657</v>
      </c>
      <c r="U65" s="43" t="str">
        <f t="shared" ca="1" si="13"/>
        <v/>
      </c>
      <c r="V65" s="43">
        <f t="shared" ca="1" si="14"/>
        <v>0.44305555555555554</v>
      </c>
      <c r="W65" s="43">
        <f t="shared" ca="1" si="15"/>
        <v>4.8611111111113159E-3</v>
      </c>
      <c r="X65" s="43">
        <f t="shared" ca="1" si="16"/>
        <v>4.8611111111113332E-3</v>
      </c>
      <c r="Y65" s="43">
        <f t="shared" ca="1" si="17"/>
        <v>0.44791666666666663</v>
      </c>
      <c r="Z65">
        <f ca="1">COUNTIF($M$19:$M64,"&gt;"&amp;$F65)</f>
        <v>0</v>
      </c>
    </row>
    <row r="66" spans="1:26">
      <c r="A66">
        <f t="shared" ca="1" si="18"/>
        <v>47</v>
      </c>
      <c r="B66">
        <f t="shared" ca="1" si="4"/>
        <v>1</v>
      </c>
      <c r="C66" s="43">
        <f t="shared" ca="1" si="5"/>
        <v>6.9444444444444447E-4</v>
      </c>
      <c r="D66">
        <f t="shared" ca="1" si="23"/>
        <v>9</v>
      </c>
      <c r="E66" s="43">
        <f t="shared" ca="1" si="6"/>
        <v>6.2500000000000003E-3</v>
      </c>
      <c r="F66" s="43">
        <f t="shared" ca="1" si="24"/>
        <v>0.44374999999999976</v>
      </c>
      <c r="G66" s="43">
        <f t="shared" ca="1" si="20"/>
        <v>2.7777777777779344E-3</v>
      </c>
      <c r="H66" t="str">
        <f t="shared" ca="1" si="25"/>
        <v>ушел</v>
      </c>
      <c r="I66" s="43">
        <f t="shared" ca="1" si="26"/>
        <v>0.44652777777777752</v>
      </c>
      <c r="J66" s="43">
        <f ca="1">IF(ISTEXT($F66),"",MAX($P$19:P65,$F66))</f>
        <v>0.44652777777777769</v>
      </c>
      <c r="K66" s="43">
        <f ca="1">IF(ISTEXT($F66),"",MAX($R$19:R65,$F66))</f>
        <v>0.44791666666666663</v>
      </c>
      <c r="L66" s="43">
        <f t="shared" ca="1" si="21"/>
        <v>0.44791666666666657</v>
      </c>
      <c r="M66" s="43">
        <f t="shared" ca="1" si="22"/>
        <v>0.44652777777777769</v>
      </c>
      <c r="N66" t="str">
        <f t="shared" ca="1" si="19"/>
        <v/>
      </c>
      <c r="O66" s="43" t="str">
        <f t="shared" ca="1" si="7"/>
        <v/>
      </c>
      <c r="P66" s="43">
        <f t="shared" ca="1" si="8"/>
        <v>0.44652777777777769</v>
      </c>
      <c r="Q66" s="43" t="str">
        <f t="shared" ca="1" si="9"/>
        <v/>
      </c>
      <c r="R66" s="43">
        <f t="shared" ca="1" si="10"/>
        <v>0.44791666666666663</v>
      </c>
      <c r="S66" s="43" t="str">
        <f t="shared" ca="1" si="11"/>
        <v/>
      </c>
      <c r="T66" s="43">
        <f t="shared" ca="1" si="12"/>
        <v>0.44791666666666657</v>
      </c>
      <c r="U66" s="43">
        <f t="shared" ca="1" si="13"/>
        <v>2.7777777777777679E-3</v>
      </c>
      <c r="V66" s="43" t="str">
        <f t="shared" ca="1" si="14"/>
        <v/>
      </c>
      <c r="W66" s="43">
        <f t="shared" ca="1" si="15"/>
        <v>2.7777777777777679E-3</v>
      </c>
      <c r="X66" s="43">
        <f t="shared" ca="1" si="16"/>
        <v>2.7777777777777679E-3</v>
      </c>
      <c r="Y66" s="43">
        <f t="shared" ca="1" si="17"/>
        <v>0.44652777777777752</v>
      </c>
      <c r="Z66">
        <f ca="1">COUNTIF($M$19:$M65,"&gt;"&amp;$F66)</f>
        <v>0</v>
      </c>
    </row>
    <row r="67" spans="1:26">
      <c r="A67">
        <f t="shared" ca="1" si="18"/>
        <v>48</v>
      </c>
      <c r="B67">
        <f t="shared" ca="1" si="4"/>
        <v>1</v>
      </c>
      <c r="C67" s="43">
        <f t="shared" ca="1" si="5"/>
        <v>6.9444444444444447E-4</v>
      </c>
      <c r="D67">
        <f t="shared" ca="1" si="23"/>
        <v>9</v>
      </c>
      <c r="E67" s="43">
        <f t="shared" ca="1" si="6"/>
        <v>6.2500000000000003E-3</v>
      </c>
      <c r="F67" s="43">
        <f t="shared" ca="1" si="24"/>
        <v>0.4444444444444442</v>
      </c>
      <c r="G67" s="43">
        <f t="shared" ca="1" si="20"/>
        <v>2.0833333333334925E-3</v>
      </c>
      <c r="H67" t="str">
        <f t="shared" ca="1" si="25"/>
        <v/>
      </c>
      <c r="I67" s="43" t="str">
        <f t="shared" ca="1" si="26"/>
        <v/>
      </c>
      <c r="J67" s="43">
        <f ca="1">IF(ISTEXT($F67),"",MAX($P$19:P66,$F67))</f>
        <v>0.44652777777777769</v>
      </c>
      <c r="K67" s="43">
        <f ca="1">IF(ISTEXT($F67),"",MAX($R$19:R66,$F67))</f>
        <v>0.44791666666666663</v>
      </c>
      <c r="L67" s="43">
        <f t="shared" ca="1" si="21"/>
        <v>0.44791666666666657</v>
      </c>
      <c r="M67" s="43">
        <f t="shared" ca="1" si="22"/>
        <v>0.44652777777777769</v>
      </c>
      <c r="N67">
        <f t="shared" ca="1" si="19"/>
        <v>1</v>
      </c>
      <c r="O67" s="43">
        <f t="shared" ca="1" si="7"/>
        <v>0.44652777777777769</v>
      </c>
      <c r="P67" s="43">
        <f t="shared" ca="1" si="8"/>
        <v>0.45277777777777767</v>
      </c>
      <c r="Q67" s="43" t="str">
        <f t="shared" ca="1" si="9"/>
        <v/>
      </c>
      <c r="R67" s="43">
        <f t="shared" ca="1" si="10"/>
        <v>0.44791666666666663</v>
      </c>
      <c r="S67" s="43" t="str">
        <f t="shared" ca="1" si="11"/>
        <v/>
      </c>
      <c r="T67" s="43">
        <f t="shared" ca="1" si="12"/>
        <v>0.44791666666666657</v>
      </c>
      <c r="U67" s="43" t="str">
        <f t="shared" ca="1" si="13"/>
        <v/>
      </c>
      <c r="V67" s="43">
        <f t="shared" ca="1" si="14"/>
        <v>0.44652777777777769</v>
      </c>
      <c r="W67" s="43">
        <f t="shared" ca="1" si="15"/>
        <v>8.3333333333334703E-3</v>
      </c>
      <c r="X67" s="43">
        <f t="shared" ca="1" si="16"/>
        <v>8.3333333333334928E-3</v>
      </c>
      <c r="Y67" s="43">
        <f t="shared" ca="1" si="17"/>
        <v>0.45277777777777767</v>
      </c>
      <c r="Z67">
        <f ca="1">COUNTIF($M$19:$M66,"&gt;"&amp;$F67)</f>
        <v>1</v>
      </c>
    </row>
    <row r="68" spans="1:26">
      <c r="A68">
        <f ca="1">IF(ISTEXT(F68),"закрыто",A67+1)</f>
        <v>49</v>
      </c>
      <c r="B68">
        <f t="shared" ca="1" si="4"/>
        <v>2</v>
      </c>
      <c r="C68" s="43">
        <f t="shared" ca="1" si="5"/>
        <v>1.3888888888888889E-3</v>
      </c>
      <c r="D68">
        <f t="shared" ca="1" si="23"/>
        <v>17</v>
      </c>
      <c r="E68" s="43">
        <f t="shared" ca="1" si="6"/>
        <v>1.1805555555555555E-2</v>
      </c>
      <c r="F68" s="43">
        <f t="shared" ca="1" si="24"/>
        <v>0.44583333333333308</v>
      </c>
      <c r="G68" s="43">
        <f t="shared" ca="1" si="20"/>
        <v>2.0833333333334925E-3</v>
      </c>
      <c r="H68" t="str">
        <f t="shared" ca="1" si="25"/>
        <v/>
      </c>
      <c r="I68" s="43" t="str">
        <f t="shared" ca="1" si="26"/>
        <v/>
      </c>
      <c r="J68" s="43">
        <f ca="1">IF(ISTEXT($F68),"",MAX($P$19:P67,$F68))</f>
        <v>0.45277777777777767</v>
      </c>
      <c r="K68" s="43">
        <f ca="1">IF(ISTEXT($F68),"",MAX($R$19:R67,$F68))</f>
        <v>0.44791666666666663</v>
      </c>
      <c r="L68" s="43">
        <f t="shared" ca="1" si="21"/>
        <v>0.44791666666666657</v>
      </c>
      <c r="M68" s="43">
        <f t="shared" ca="1" si="22"/>
        <v>0.44791666666666657</v>
      </c>
      <c r="N68">
        <f t="shared" ca="1" si="19"/>
        <v>3</v>
      </c>
      <c r="O68" s="43" t="str">
        <f t="shared" ca="1" si="7"/>
        <v/>
      </c>
      <c r="P68" s="43">
        <f t="shared" ca="1" si="8"/>
        <v>0.45277777777777767</v>
      </c>
      <c r="Q68" s="43" t="str">
        <f t="shared" ca="1" si="9"/>
        <v/>
      </c>
      <c r="R68" s="43">
        <f t="shared" ca="1" si="10"/>
        <v>0.44791666666666663</v>
      </c>
      <c r="S68" s="43">
        <f t="shared" ca="1" si="11"/>
        <v>0.44791666666666657</v>
      </c>
      <c r="T68" s="43">
        <f t="shared" ca="1" si="12"/>
        <v>0.45972222222222214</v>
      </c>
      <c r="U68" s="43" t="str">
        <f t="shared" ca="1" si="13"/>
        <v/>
      </c>
      <c r="V68" s="43">
        <f t="shared" ca="1" si="14"/>
        <v>0.44791666666666657</v>
      </c>
      <c r="W68" s="43">
        <f t="shared" ca="1" si="15"/>
        <v>1.3888888888889062E-2</v>
      </c>
      <c r="X68" s="43">
        <f t="shared" ca="1" si="16"/>
        <v>1.3888888888889048E-2</v>
      </c>
      <c r="Y68" s="43">
        <f t="shared" ca="1" si="17"/>
        <v>0.45972222222222214</v>
      </c>
      <c r="Z68">
        <f ca="1">COUNTIF($M$19:$M67,"&gt;"&amp;$F68)</f>
        <v>2</v>
      </c>
    </row>
    <row r="69" spans="1:26">
      <c r="A69">
        <f t="shared" ca="1" si="18"/>
        <v>50</v>
      </c>
      <c r="B69">
        <f t="shared" ca="1" si="4"/>
        <v>3</v>
      </c>
      <c r="C69" s="43">
        <f t="shared" ca="1" si="5"/>
        <v>2.0833333333333333E-3</v>
      </c>
      <c r="D69">
        <f t="shared" ca="1" si="23"/>
        <v>17</v>
      </c>
      <c r="E69" s="43">
        <f t="shared" ca="1" si="6"/>
        <v>1.1805555555555555E-2</v>
      </c>
      <c r="F69" s="43">
        <f t="shared" ca="1" si="24"/>
        <v>0.44791666666666641</v>
      </c>
      <c r="G69" s="43">
        <f t="shared" ca="1" si="20"/>
        <v>2.2204460492503131E-16</v>
      </c>
      <c r="H69" t="str">
        <f t="shared" ca="1" si="25"/>
        <v/>
      </c>
      <c r="I69" s="43" t="str">
        <f t="shared" ca="1" si="26"/>
        <v/>
      </c>
      <c r="J69" s="43">
        <f ca="1">IF(ISTEXT($F69),"",MAX($P$19:P68,$F69))</f>
        <v>0.45277777777777767</v>
      </c>
      <c r="K69" s="43">
        <f ca="1">IF(ISTEXT($F69),"",MAX($R$19:R68,$F69))</f>
        <v>0.44791666666666663</v>
      </c>
      <c r="L69" s="43">
        <f t="shared" ca="1" si="21"/>
        <v>0.45972222222222214</v>
      </c>
      <c r="M69" s="43">
        <f t="shared" ca="1" si="22"/>
        <v>0.44791666666666663</v>
      </c>
      <c r="N69">
        <f t="shared" ca="1" si="19"/>
        <v>2</v>
      </c>
      <c r="O69" s="43" t="str">
        <f t="shared" ca="1" si="7"/>
        <v/>
      </c>
      <c r="P69" s="43">
        <f t="shared" ca="1" si="8"/>
        <v>0.45277777777777767</v>
      </c>
      <c r="Q69" s="43">
        <f t="shared" ca="1" si="9"/>
        <v>0.44791666666666663</v>
      </c>
      <c r="R69" s="43">
        <f t="shared" ca="1" si="10"/>
        <v>0.4597222222222222</v>
      </c>
      <c r="S69" s="43" t="str">
        <f t="shared" ca="1" si="11"/>
        <v/>
      </c>
      <c r="T69" s="43">
        <f t="shared" ca="1" si="12"/>
        <v>0.45972222222222214</v>
      </c>
      <c r="U69" s="43" t="str">
        <f t="shared" ca="1" si="13"/>
        <v/>
      </c>
      <c r="V69" s="43">
        <f t="shared" ca="1" si="14"/>
        <v>0.44791666666666663</v>
      </c>
      <c r="W69" s="43">
        <f t="shared" ca="1" si="15"/>
        <v>1.1805555555555791E-2</v>
      </c>
      <c r="X69" s="43">
        <f t="shared" ca="1" si="16"/>
        <v>1.1805555555555777E-2</v>
      </c>
      <c r="Y69" s="43">
        <f t="shared" ca="1" si="17"/>
        <v>0.4597222222222222</v>
      </c>
      <c r="Z69">
        <f ca="1">COUNTIF($M$19:$M68,"&gt;"&amp;$F69)</f>
        <v>1</v>
      </c>
    </row>
    <row r="70" spans="1:26">
      <c r="A70">
        <f t="shared" ca="1" si="18"/>
        <v>51</v>
      </c>
      <c r="B70">
        <f t="shared" ca="1" si="4"/>
        <v>2</v>
      </c>
      <c r="C70" s="43">
        <f t="shared" ca="1" si="5"/>
        <v>1.3888888888888889E-3</v>
      </c>
      <c r="D70">
        <f t="shared" ca="1" si="23"/>
        <v>17</v>
      </c>
      <c r="E70" s="43">
        <f t="shared" ca="1" si="6"/>
        <v>1.1805555555555555E-2</v>
      </c>
      <c r="F70" s="43">
        <f t="shared" ca="1" si="24"/>
        <v>0.44930555555555529</v>
      </c>
      <c r="G70" s="43">
        <f t="shared" ca="1" si="20"/>
        <v>3.4722222222223764E-3</v>
      </c>
      <c r="H70" t="str">
        <f t="shared" ca="1" si="25"/>
        <v>ушел</v>
      </c>
      <c r="I70" s="43">
        <f t="shared" ca="1" si="26"/>
        <v>0.45208333333333306</v>
      </c>
      <c r="J70" s="43">
        <f ca="1">IF(ISTEXT($F70),"",MAX($P$19:P69,$F70))</f>
        <v>0.45277777777777767</v>
      </c>
      <c r="K70" s="43">
        <f ca="1">IF(ISTEXT($F70),"",MAX($R$19:R69,$F70))</f>
        <v>0.4597222222222222</v>
      </c>
      <c r="L70" s="43">
        <f t="shared" ca="1" si="21"/>
        <v>0.45972222222222214</v>
      </c>
      <c r="M70" s="43">
        <f t="shared" ca="1" si="22"/>
        <v>0.45277777777777767</v>
      </c>
      <c r="N70" t="str">
        <f t="shared" ca="1" si="19"/>
        <v/>
      </c>
      <c r="O70" s="43" t="str">
        <f t="shared" ca="1" si="7"/>
        <v/>
      </c>
      <c r="P70" s="43">
        <f t="shared" ca="1" si="8"/>
        <v>0.45277777777777767</v>
      </c>
      <c r="Q70" s="43" t="str">
        <f t="shared" ca="1" si="9"/>
        <v/>
      </c>
      <c r="R70" s="43">
        <f t="shared" ca="1" si="10"/>
        <v>0.4597222222222222</v>
      </c>
      <c r="S70" s="43" t="str">
        <f t="shared" ca="1" si="11"/>
        <v/>
      </c>
      <c r="T70" s="43">
        <f t="shared" ca="1" si="12"/>
        <v>0.45972222222222214</v>
      </c>
      <c r="U70" s="43">
        <f t="shared" ca="1" si="13"/>
        <v>2.7777777777777679E-3</v>
      </c>
      <c r="V70" s="43" t="str">
        <f t="shared" ca="1" si="14"/>
        <v/>
      </c>
      <c r="W70" s="43">
        <f t="shared" ca="1" si="15"/>
        <v>2.7777777777777679E-3</v>
      </c>
      <c r="X70" s="43">
        <f t="shared" ca="1" si="16"/>
        <v>2.7777777777777679E-3</v>
      </c>
      <c r="Y70" s="43">
        <f t="shared" ca="1" si="17"/>
        <v>0.45208333333333306</v>
      </c>
      <c r="Z70">
        <f ca="1">COUNTIF($M$19:$M69,"&gt;"&amp;$F70)</f>
        <v>0</v>
      </c>
    </row>
    <row r="71" spans="1:26">
      <c r="A71">
        <f t="shared" ca="1" si="18"/>
        <v>52</v>
      </c>
      <c r="B71">
        <f t="shared" ca="1" si="4"/>
        <v>2</v>
      </c>
      <c r="C71" s="43">
        <f t="shared" ca="1" si="5"/>
        <v>1.3888888888888889E-3</v>
      </c>
      <c r="D71">
        <f t="shared" ca="1" si="23"/>
        <v>9</v>
      </c>
      <c r="E71" s="43">
        <f t="shared" ca="1" si="6"/>
        <v>6.2500000000000003E-3</v>
      </c>
      <c r="F71" s="43">
        <f t="shared" ca="1" si="24"/>
        <v>0.45069444444444418</v>
      </c>
      <c r="G71" s="43">
        <f t="shared" ca="1" si="20"/>
        <v>2.0833333333334925E-3</v>
      </c>
      <c r="H71" t="str">
        <f t="shared" ca="1" si="25"/>
        <v/>
      </c>
      <c r="I71" s="43" t="str">
        <f t="shared" ca="1" si="26"/>
        <v/>
      </c>
      <c r="J71" s="43">
        <f ca="1">IF(ISTEXT($F71),"",MAX($P$19:P70,$F71))</f>
        <v>0.45277777777777767</v>
      </c>
      <c r="K71" s="43">
        <f ca="1">IF(ISTEXT($F71),"",MAX($R$19:R70,$F71))</f>
        <v>0.4597222222222222</v>
      </c>
      <c r="L71" s="43">
        <f t="shared" ca="1" si="21"/>
        <v>0.45972222222222214</v>
      </c>
      <c r="M71" s="43">
        <f t="shared" ca="1" si="22"/>
        <v>0.45277777777777767</v>
      </c>
      <c r="N71">
        <f t="shared" ca="1" si="19"/>
        <v>1</v>
      </c>
      <c r="O71" s="43">
        <f t="shared" ca="1" si="7"/>
        <v>0.45277777777777767</v>
      </c>
      <c r="P71" s="43">
        <f t="shared" ca="1" si="8"/>
        <v>0.45902777777777765</v>
      </c>
      <c r="Q71" s="43" t="str">
        <f t="shared" ca="1" si="9"/>
        <v/>
      </c>
      <c r="R71" s="43">
        <f t="shared" ca="1" si="10"/>
        <v>0.4597222222222222</v>
      </c>
      <c r="S71" s="43" t="str">
        <f t="shared" ca="1" si="11"/>
        <v/>
      </c>
      <c r="T71" s="43">
        <f t="shared" ca="1" si="12"/>
        <v>0.45972222222222214</v>
      </c>
      <c r="U71" s="43" t="str">
        <f t="shared" ca="1" si="13"/>
        <v/>
      </c>
      <c r="V71" s="43">
        <f t="shared" ca="1" si="14"/>
        <v>0.45277777777777767</v>
      </c>
      <c r="W71" s="43">
        <f t="shared" ca="1" si="15"/>
        <v>8.3333333333334703E-3</v>
      </c>
      <c r="X71" s="43">
        <f t="shared" ca="1" si="16"/>
        <v>8.3333333333334928E-3</v>
      </c>
      <c r="Y71" s="43">
        <f t="shared" ca="1" si="17"/>
        <v>0.45902777777777765</v>
      </c>
      <c r="Z71">
        <f ca="1">COUNTIF($M$19:$M70,"&gt;"&amp;$F71)</f>
        <v>1</v>
      </c>
    </row>
    <row r="72" spans="1:26">
      <c r="A72">
        <f t="shared" ca="1" si="18"/>
        <v>53</v>
      </c>
      <c r="B72">
        <f t="shared" ca="1" si="4"/>
        <v>2</v>
      </c>
      <c r="C72" s="43">
        <f t="shared" ca="1" si="5"/>
        <v>1.3888888888888889E-3</v>
      </c>
      <c r="D72">
        <f t="shared" ca="1" si="23"/>
        <v>3</v>
      </c>
      <c r="E72" s="43">
        <f t="shared" ca="1" si="6"/>
        <v>2.0833333333333333E-3</v>
      </c>
      <c r="F72" s="43">
        <f t="shared" ca="1" si="24"/>
        <v>0.45208333333333306</v>
      </c>
      <c r="G72" s="43">
        <f t="shared" ca="1" si="20"/>
        <v>6.9444444444445863E-3</v>
      </c>
      <c r="H72" t="str">
        <f t="shared" ca="1" si="25"/>
        <v>ушел</v>
      </c>
      <c r="I72" s="43">
        <f t="shared" ca="1" si="26"/>
        <v>0.45486111111111083</v>
      </c>
      <c r="J72" s="43">
        <f ca="1">IF(ISTEXT($F72),"",MAX($P$19:P71,$F72))</f>
        <v>0.45902777777777765</v>
      </c>
      <c r="K72" s="43">
        <f ca="1">IF(ISTEXT($F72),"",MAX($R$19:R71,$F72))</f>
        <v>0.4597222222222222</v>
      </c>
      <c r="L72" s="43">
        <f t="shared" ca="1" si="21"/>
        <v>0.45972222222222214</v>
      </c>
      <c r="M72" s="43">
        <f t="shared" ca="1" si="22"/>
        <v>0.45902777777777765</v>
      </c>
      <c r="N72" t="str">
        <f t="shared" ca="1" si="19"/>
        <v/>
      </c>
      <c r="O72" s="43" t="str">
        <f t="shared" ca="1" si="7"/>
        <v/>
      </c>
      <c r="P72" s="43">
        <f t="shared" ca="1" si="8"/>
        <v>0.45902777777777765</v>
      </c>
      <c r="Q72" s="43" t="str">
        <f t="shared" ca="1" si="9"/>
        <v/>
      </c>
      <c r="R72" s="43">
        <f t="shared" ca="1" si="10"/>
        <v>0.4597222222222222</v>
      </c>
      <c r="S72" s="43" t="str">
        <f t="shared" ca="1" si="11"/>
        <v/>
      </c>
      <c r="T72" s="43">
        <f t="shared" ca="1" si="12"/>
        <v>0.45972222222222214</v>
      </c>
      <c r="U72" s="43">
        <f t="shared" ca="1" si="13"/>
        <v>2.7777777777777679E-3</v>
      </c>
      <c r="V72" s="43" t="str">
        <f t="shared" ca="1" si="14"/>
        <v/>
      </c>
      <c r="W72" s="43">
        <f t="shared" ca="1" si="15"/>
        <v>2.7777777777777679E-3</v>
      </c>
      <c r="X72" s="43">
        <f t="shared" ca="1" si="16"/>
        <v>2.7777777777777679E-3</v>
      </c>
      <c r="Y72" s="43">
        <f t="shared" ca="1" si="17"/>
        <v>0.45486111111111083</v>
      </c>
      <c r="Z72">
        <f ca="1">COUNTIF($M$19:$M71,"&gt;"&amp;$F72)</f>
        <v>2</v>
      </c>
    </row>
    <row r="73" spans="1:26">
      <c r="A73">
        <f t="shared" ca="1" si="18"/>
        <v>54</v>
      </c>
      <c r="B73">
        <f t="shared" ca="1" si="4"/>
        <v>1</v>
      </c>
      <c r="C73" s="43">
        <f t="shared" ca="1" si="5"/>
        <v>6.9444444444444447E-4</v>
      </c>
      <c r="D73">
        <f t="shared" ca="1" si="23"/>
        <v>17</v>
      </c>
      <c r="E73" s="43">
        <f t="shared" ca="1" si="6"/>
        <v>1.1805555555555555E-2</v>
      </c>
      <c r="F73" s="43">
        <f t="shared" ca="1" si="24"/>
        <v>0.4527777777777775</v>
      </c>
      <c r="G73" s="43">
        <f t="shared" ca="1" si="20"/>
        <v>6.2500000000001443E-3</v>
      </c>
      <c r="H73" t="str">
        <f t="shared" ca="1" si="25"/>
        <v>ушел</v>
      </c>
      <c r="I73" s="43">
        <f t="shared" ca="1" si="26"/>
        <v>0.45555555555555527</v>
      </c>
      <c r="J73" s="43">
        <f ca="1">IF(ISTEXT($F73),"",MAX($P$19:P72,$F73))</f>
        <v>0.45902777777777765</v>
      </c>
      <c r="K73" s="43">
        <f ca="1">IF(ISTEXT($F73),"",MAX($R$19:R72,$F73))</f>
        <v>0.4597222222222222</v>
      </c>
      <c r="L73" s="43">
        <f t="shared" ca="1" si="21"/>
        <v>0.45972222222222214</v>
      </c>
      <c r="M73" s="43">
        <f t="shared" ca="1" si="22"/>
        <v>0.45902777777777765</v>
      </c>
      <c r="N73" t="str">
        <f t="shared" ca="1" si="19"/>
        <v/>
      </c>
      <c r="O73" s="43" t="str">
        <f t="shared" ca="1" si="7"/>
        <v/>
      </c>
      <c r="P73" s="43">
        <f t="shared" ca="1" si="8"/>
        <v>0.45902777777777765</v>
      </c>
      <c r="Q73" s="43" t="str">
        <f t="shared" ca="1" si="9"/>
        <v/>
      </c>
      <c r="R73" s="43">
        <f t="shared" ca="1" si="10"/>
        <v>0.4597222222222222</v>
      </c>
      <c r="S73" s="43" t="str">
        <f t="shared" ca="1" si="11"/>
        <v/>
      </c>
      <c r="T73" s="43">
        <f t="shared" ca="1" si="12"/>
        <v>0.45972222222222214</v>
      </c>
      <c r="U73" s="43">
        <f t="shared" ca="1" si="13"/>
        <v>2.7777777777777679E-3</v>
      </c>
      <c r="V73" s="43" t="str">
        <f t="shared" ca="1" si="14"/>
        <v/>
      </c>
      <c r="W73" s="43">
        <f t="shared" ca="1" si="15"/>
        <v>2.7777777777777679E-3</v>
      </c>
      <c r="X73" s="43">
        <f t="shared" ca="1" si="16"/>
        <v>2.7777777777777679E-3</v>
      </c>
      <c r="Y73" s="43">
        <f t="shared" ca="1" si="17"/>
        <v>0.45555555555555527</v>
      </c>
      <c r="Z73">
        <f ca="1">COUNTIF($M$19:$M72,"&gt;"&amp;$F73)</f>
        <v>1</v>
      </c>
    </row>
    <row r="74" spans="1:26" ht="13.75" customHeight="1">
      <c r="A74">
        <f t="shared" ca="1" si="18"/>
        <v>55</v>
      </c>
      <c r="B74">
        <f t="shared" ca="1" si="4"/>
        <v>3</v>
      </c>
      <c r="C74" s="43">
        <f t="shared" ca="1" si="5"/>
        <v>2.0833333333333333E-3</v>
      </c>
      <c r="D74">
        <f t="shared" ca="1" si="23"/>
        <v>17</v>
      </c>
      <c r="E74" s="43">
        <f t="shared" ca="1" si="6"/>
        <v>1.1805555555555555E-2</v>
      </c>
      <c r="F74" s="43">
        <f t="shared" ca="1" si="24"/>
        <v>0.45486111111111083</v>
      </c>
      <c r="G74" s="43">
        <f t="shared" ca="1" si="20"/>
        <v>4.1666666666668184E-3</v>
      </c>
      <c r="H74" t="str">
        <f t="shared" ca="1" si="25"/>
        <v>ушел</v>
      </c>
      <c r="I74" s="43">
        <f t="shared" ca="1" si="26"/>
        <v>0.4576388888888886</v>
      </c>
      <c r="J74" s="43">
        <f ca="1">IF(ISTEXT($F74),"",MAX($P$19:P73,$F74))</f>
        <v>0.45902777777777765</v>
      </c>
      <c r="K74" s="43">
        <f ca="1">IF(ISTEXT($F74),"",MAX($R$19:R73,$F74))</f>
        <v>0.4597222222222222</v>
      </c>
      <c r="L74" s="43">
        <f t="shared" ca="1" si="21"/>
        <v>0.45972222222222214</v>
      </c>
      <c r="M74" s="43">
        <f t="shared" ca="1" si="22"/>
        <v>0.45902777777777765</v>
      </c>
      <c r="N74" t="str">
        <f t="shared" ca="1" si="19"/>
        <v/>
      </c>
      <c r="O74" s="43" t="str">
        <f t="shared" ca="1" si="7"/>
        <v/>
      </c>
      <c r="P74" s="43">
        <f t="shared" ca="1" si="8"/>
        <v>0.45902777777777765</v>
      </c>
      <c r="Q74" s="43" t="str">
        <f t="shared" ca="1" si="9"/>
        <v/>
      </c>
      <c r="R74" s="43">
        <f t="shared" ca="1" si="10"/>
        <v>0.4597222222222222</v>
      </c>
      <c r="S74" s="43" t="str">
        <f t="shared" ca="1" si="11"/>
        <v/>
      </c>
      <c r="T74" s="43">
        <f t="shared" ca="1" si="12"/>
        <v>0.45972222222222214</v>
      </c>
      <c r="U74" s="43">
        <f t="shared" ca="1" si="13"/>
        <v>2.7777777777777679E-3</v>
      </c>
      <c r="V74" s="43" t="str">
        <f t="shared" ca="1" si="14"/>
        <v/>
      </c>
      <c r="W74" s="43">
        <f t="shared" ca="1" si="15"/>
        <v>2.7777777777777679E-3</v>
      </c>
      <c r="X74" s="43">
        <f t="shared" ca="1" si="16"/>
        <v>2.7777777777777679E-3</v>
      </c>
      <c r="Y74" s="43">
        <f t="shared" ca="1" si="17"/>
        <v>0.4576388888888886</v>
      </c>
      <c r="Z74">
        <f ca="1">COUNTIF($M$19:$M73,"&gt;"&amp;$F74)</f>
        <v>2</v>
      </c>
    </row>
    <row r="75" spans="1:26">
      <c r="A75">
        <f t="shared" ca="1" si="18"/>
        <v>56</v>
      </c>
      <c r="B75">
        <f t="shared" ca="1" si="4"/>
        <v>3</v>
      </c>
      <c r="C75" s="43">
        <f t="shared" ca="1" si="5"/>
        <v>2.0833333333333333E-3</v>
      </c>
      <c r="D75">
        <f t="shared" ca="1" si="23"/>
        <v>17</v>
      </c>
      <c r="E75" s="43">
        <f t="shared" ca="1" si="6"/>
        <v>1.1805555555555555E-2</v>
      </c>
      <c r="F75" s="43">
        <f t="shared" ca="1" si="24"/>
        <v>0.45694444444444415</v>
      </c>
      <c r="G75" s="43">
        <f t="shared" ca="1" si="20"/>
        <v>2.0833333333334925E-3</v>
      </c>
      <c r="H75" t="str">
        <f t="shared" ca="1" si="25"/>
        <v/>
      </c>
      <c r="I75" s="43" t="str">
        <f t="shared" ca="1" si="26"/>
        <v/>
      </c>
      <c r="J75" s="43">
        <f ca="1">IF(ISTEXT($F75),"",MAX($P$19:P74,$F75))</f>
        <v>0.45902777777777765</v>
      </c>
      <c r="K75" s="43">
        <f ca="1">IF(ISTEXT($F75),"",MAX($R$19:R74,$F75))</f>
        <v>0.4597222222222222</v>
      </c>
      <c r="L75" s="43">
        <f t="shared" ca="1" si="21"/>
        <v>0.45972222222222214</v>
      </c>
      <c r="M75" s="43">
        <f t="shared" ca="1" si="22"/>
        <v>0.45902777777777765</v>
      </c>
      <c r="N75">
        <f t="shared" ca="1" si="19"/>
        <v>1</v>
      </c>
      <c r="O75" s="43">
        <f t="shared" ca="1" si="7"/>
        <v>0.45902777777777765</v>
      </c>
      <c r="P75" s="43">
        <f t="shared" ca="1" si="8"/>
        <v>0.47083333333333321</v>
      </c>
      <c r="Q75" s="43" t="str">
        <f t="shared" ca="1" si="9"/>
        <v/>
      </c>
      <c r="R75" s="43">
        <f t="shared" ca="1" si="10"/>
        <v>0.4597222222222222</v>
      </c>
      <c r="S75" s="43" t="str">
        <f t="shared" ca="1" si="11"/>
        <v/>
      </c>
      <c r="T75" s="43">
        <f t="shared" ca="1" si="12"/>
        <v>0.45972222222222214</v>
      </c>
      <c r="U75" s="43" t="str">
        <f t="shared" ca="1" si="13"/>
        <v/>
      </c>
      <c r="V75" s="43">
        <f t="shared" ca="1" si="14"/>
        <v>0.45902777777777765</v>
      </c>
      <c r="W75" s="43">
        <f t="shared" ca="1" si="15"/>
        <v>1.3888888888889062E-2</v>
      </c>
      <c r="X75" s="43">
        <f t="shared" ca="1" si="16"/>
        <v>1.3888888888889048E-2</v>
      </c>
      <c r="Y75" s="43">
        <f t="shared" ca="1" si="17"/>
        <v>0.47083333333333321</v>
      </c>
      <c r="Z75">
        <f ca="1">COUNTIF($M$19:$M74,"&gt;"&amp;$F75)</f>
        <v>3</v>
      </c>
    </row>
    <row r="76" spans="1:26">
      <c r="A76">
        <f t="shared" ca="1" si="18"/>
        <v>57</v>
      </c>
      <c r="B76">
        <f t="shared" ca="1" si="4"/>
        <v>2</v>
      </c>
      <c r="C76" s="43">
        <f t="shared" ca="1" si="5"/>
        <v>1.3888888888888889E-3</v>
      </c>
      <c r="D76">
        <f t="shared" ca="1" si="23"/>
        <v>17</v>
      </c>
      <c r="E76" s="43">
        <f t="shared" ca="1" si="6"/>
        <v>1.1805555555555555E-2</v>
      </c>
      <c r="F76" s="43">
        <f t="shared" ca="1" si="24"/>
        <v>0.45833333333333304</v>
      </c>
      <c r="G76" s="43">
        <f t="shared" ca="1" si="20"/>
        <v>1.388888888889106E-3</v>
      </c>
      <c r="H76" t="str">
        <f t="shared" ca="1" si="25"/>
        <v/>
      </c>
      <c r="I76" s="43" t="str">
        <f t="shared" ca="1" si="26"/>
        <v/>
      </c>
      <c r="J76" s="43">
        <f ca="1">IF(ISTEXT($F76),"",MAX($P$19:P75,$F76))</f>
        <v>0.47083333333333321</v>
      </c>
      <c r="K76" s="43">
        <f ca="1">IF(ISTEXT($F76),"",MAX($R$19:R75,$F76))</f>
        <v>0.4597222222222222</v>
      </c>
      <c r="L76" s="43">
        <f t="shared" ca="1" si="21"/>
        <v>0.45972222222222214</v>
      </c>
      <c r="M76" s="43">
        <f t="shared" ca="1" si="22"/>
        <v>0.45972222222222214</v>
      </c>
      <c r="N76">
        <f t="shared" ca="1" si="19"/>
        <v>3</v>
      </c>
      <c r="O76" s="43" t="str">
        <f t="shared" ca="1" si="7"/>
        <v/>
      </c>
      <c r="P76" s="43">
        <f t="shared" ca="1" si="8"/>
        <v>0.47083333333333321</v>
      </c>
      <c r="Q76" s="43" t="str">
        <f t="shared" ca="1" si="9"/>
        <v/>
      </c>
      <c r="R76" s="43">
        <f t="shared" ca="1" si="10"/>
        <v>0.4597222222222222</v>
      </c>
      <c r="S76" s="43">
        <f t="shared" ca="1" si="11"/>
        <v>0.45972222222222214</v>
      </c>
      <c r="T76" s="43">
        <f t="shared" ca="1" si="12"/>
        <v>0.47152777777777771</v>
      </c>
      <c r="U76" s="43" t="str">
        <f t="shared" ca="1" si="13"/>
        <v/>
      </c>
      <c r="V76" s="43">
        <f t="shared" ca="1" si="14"/>
        <v>0.45972222222222214</v>
      </c>
      <c r="W76" s="43">
        <f t="shared" ca="1" si="15"/>
        <v>1.3194444444444675E-2</v>
      </c>
      <c r="X76" s="43">
        <f t="shared" ca="1" si="16"/>
        <v>1.3194444444444661E-2</v>
      </c>
      <c r="Y76" s="43">
        <f t="shared" ca="1" si="17"/>
        <v>0.47152777777777771</v>
      </c>
      <c r="Z76">
        <f ca="1">COUNTIF($M$19:$M75,"&gt;"&amp;$F76)</f>
        <v>4</v>
      </c>
    </row>
    <row r="77" spans="1:26">
      <c r="A77">
        <f t="shared" ca="1" si="18"/>
        <v>58</v>
      </c>
      <c r="B77">
        <f t="shared" ca="1" si="4"/>
        <v>1</v>
      </c>
      <c r="C77" s="43">
        <f t="shared" ca="1" si="5"/>
        <v>6.9444444444444447E-4</v>
      </c>
      <c r="D77">
        <f t="shared" ca="1" si="23"/>
        <v>9</v>
      </c>
      <c r="E77" s="43">
        <f t="shared" ca="1" si="6"/>
        <v>6.2500000000000003E-3</v>
      </c>
      <c r="F77" s="43">
        <f t="shared" ca="1" si="24"/>
        <v>0.45902777777777748</v>
      </c>
      <c r="G77" s="43">
        <f t="shared" ca="1" si="20"/>
        <v>6.9444444444471953E-4</v>
      </c>
      <c r="H77" t="str">
        <f t="shared" ca="1" si="25"/>
        <v/>
      </c>
      <c r="I77" s="43" t="str">
        <f t="shared" ca="1" si="26"/>
        <v/>
      </c>
      <c r="J77" s="43">
        <f ca="1">IF(ISTEXT($F77),"",MAX($P$19:P76,$F77))</f>
        <v>0.47083333333333321</v>
      </c>
      <c r="K77" s="43">
        <f ca="1">IF(ISTEXT($F77),"",MAX($R$19:R76,$F77))</f>
        <v>0.4597222222222222</v>
      </c>
      <c r="L77" s="43">
        <f t="shared" ca="1" si="21"/>
        <v>0.47152777777777771</v>
      </c>
      <c r="M77" s="43">
        <f t="shared" ca="1" si="22"/>
        <v>0.4597222222222222</v>
      </c>
      <c r="N77">
        <f t="shared" ca="1" si="19"/>
        <v>2</v>
      </c>
      <c r="O77" s="43" t="str">
        <f t="shared" ca="1" si="7"/>
        <v/>
      </c>
      <c r="P77" s="43">
        <f t="shared" ca="1" si="8"/>
        <v>0.47083333333333321</v>
      </c>
      <c r="Q77" s="43">
        <f t="shared" ca="1" si="9"/>
        <v>0.4597222222222222</v>
      </c>
      <c r="R77" s="43">
        <f t="shared" ca="1" si="10"/>
        <v>0.46597222222222218</v>
      </c>
      <c r="S77" s="43" t="str">
        <f t="shared" ca="1" si="11"/>
        <v/>
      </c>
      <c r="T77" s="43">
        <f t="shared" ca="1" si="12"/>
        <v>0.47152777777777771</v>
      </c>
      <c r="U77" s="43" t="str">
        <f t="shared" ca="1" si="13"/>
        <v/>
      </c>
      <c r="V77" s="43">
        <f t="shared" ca="1" si="14"/>
        <v>0.4597222222222222</v>
      </c>
      <c r="W77" s="43">
        <f t="shared" ca="1" si="15"/>
        <v>6.9444444444446973E-3</v>
      </c>
      <c r="X77" s="43">
        <f t="shared" ca="1" si="16"/>
        <v>6.9444444444447199E-3</v>
      </c>
      <c r="Y77" s="43">
        <f t="shared" ca="1" si="17"/>
        <v>0.46597222222222218</v>
      </c>
      <c r="Z77">
        <f ca="1">COUNTIF($M$19:$M76,"&gt;"&amp;$F77)</f>
        <v>5</v>
      </c>
    </row>
    <row r="78" spans="1:26">
      <c r="A78">
        <f t="shared" ca="1" si="18"/>
        <v>59</v>
      </c>
      <c r="B78">
        <f t="shared" ca="1" si="4"/>
        <v>2</v>
      </c>
      <c r="C78" s="43">
        <f t="shared" ca="1" si="5"/>
        <v>1.3888888888888889E-3</v>
      </c>
      <c r="D78">
        <f t="shared" ca="1" si="23"/>
        <v>17</v>
      </c>
      <c r="E78" s="43">
        <f t="shared" ca="1" si="6"/>
        <v>1.1805555555555555E-2</v>
      </c>
      <c r="F78" s="43">
        <f t="shared" ca="1" si="24"/>
        <v>0.46041666666666636</v>
      </c>
      <c r="G78" s="43">
        <f t="shared" ca="1" si="20"/>
        <v>5.5555555555558134E-3</v>
      </c>
      <c r="H78" t="str">
        <f t="shared" ca="1" si="25"/>
        <v>ушел</v>
      </c>
      <c r="I78" s="43">
        <f t="shared" ca="1" si="26"/>
        <v>0.46319444444444413</v>
      </c>
      <c r="J78" s="43">
        <f ca="1">IF(ISTEXT($F78),"",MAX($P$19:P77,$F78))</f>
        <v>0.47083333333333321</v>
      </c>
      <c r="K78" s="43">
        <f ca="1">IF(ISTEXT($F78),"",MAX($R$19:R77,$F78))</f>
        <v>0.46597222222222218</v>
      </c>
      <c r="L78" s="43">
        <f t="shared" ca="1" si="21"/>
        <v>0.47152777777777771</v>
      </c>
      <c r="M78" s="43">
        <f t="shared" ca="1" si="22"/>
        <v>0.46597222222222218</v>
      </c>
      <c r="N78" t="str">
        <f t="shared" ca="1" si="19"/>
        <v/>
      </c>
      <c r="O78" s="43" t="str">
        <f t="shared" ca="1" si="7"/>
        <v/>
      </c>
      <c r="P78" s="43">
        <f t="shared" ca="1" si="8"/>
        <v>0.47083333333333321</v>
      </c>
      <c r="Q78" s="43" t="str">
        <f t="shared" ca="1" si="9"/>
        <v/>
      </c>
      <c r="R78" s="43">
        <f t="shared" ca="1" si="10"/>
        <v>0.46597222222222218</v>
      </c>
      <c r="S78" s="43" t="str">
        <f t="shared" ca="1" si="11"/>
        <v/>
      </c>
      <c r="T78" s="43">
        <f t="shared" ca="1" si="12"/>
        <v>0.47152777777777771</v>
      </c>
      <c r="U78" s="43">
        <f t="shared" ca="1" si="13"/>
        <v>2.7777777777777679E-3</v>
      </c>
      <c r="V78" s="43" t="str">
        <f t="shared" ca="1" si="14"/>
        <v/>
      </c>
      <c r="W78" s="43">
        <f t="shared" ca="1" si="15"/>
        <v>2.7777777777777679E-3</v>
      </c>
      <c r="X78" s="43">
        <f t="shared" ca="1" si="16"/>
        <v>2.7777777777777679E-3</v>
      </c>
      <c r="Y78" s="43">
        <f t="shared" ca="1" si="17"/>
        <v>0.46319444444444413</v>
      </c>
      <c r="Z78">
        <f ca="1">COUNTIF($M$19:$M77,"&gt;"&amp;$F78)</f>
        <v>0</v>
      </c>
    </row>
    <row r="79" spans="1:26">
      <c r="A79">
        <f t="shared" ca="1" si="18"/>
        <v>60</v>
      </c>
      <c r="B79">
        <f t="shared" ca="1" si="4"/>
        <v>3</v>
      </c>
      <c r="C79" s="43">
        <f t="shared" ca="1" si="5"/>
        <v>2.0833333333333333E-3</v>
      </c>
      <c r="D79">
        <f t="shared" ca="1" si="23"/>
        <v>7</v>
      </c>
      <c r="E79" s="43">
        <f t="shared" ca="1" si="6"/>
        <v>4.8611111111111112E-3</v>
      </c>
      <c r="F79" s="43">
        <f t="shared" ca="1" si="24"/>
        <v>0.46249999999999969</v>
      </c>
      <c r="G79" s="43">
        <f t="shared" ca="1" si="20"/>
        <v>3.4722222222224874E-3</v>
      </c>
      <c r="H79" t="str">
        <f t="shared" ca="1" si="25"/>
        <v>ушел</v>
      </c>
      <c r="I79" s="43">
        <f t="shared" ca="1" si="26"/>
        <v>0.46527777777777746</v>
      </c>
      <c r="J79" s="43">
        <f ca="1">IF(ISTEXT($F79),"",MAX($P$19:P78,$F79))</f>
        <v>0.47083333333333321</v>
      </c>
      <c r="K79" s="43">
        <f ca="1">IF(ISTEXT($F79),"",MAX($R$19:R78,$F79))</f>
        <v>0.46597222222222218</v>
      </c>
      <c r="L79" s="43">
        <f t="shared" ca="1" si="21"/>
        <v>0.47152777777777771</v>
      </c>
      <c r="M79" s="43">
        <f t="shared" ca="1" si="22"/>
        <v>0.46597222222222218</v>
      </c>
      <c r="N79" t="str">
        <f t="shared" ca="1" si="19"/>
        <v/>
      </c>
      <c r="O79" s="43" t="str">
        <f t="shared" ca="1" si="7"/>
        <v/>
      </c>
      <c r="P79" s="43">
        <f t="shared" ca="1" si="8"/>
        <v>0.47083333333333321</v>
      </c>
      <c r="Q79" s="43" t="str">
        <f t="shared" ca="1" si="9"/>
        <v/>
      </c>
      <c r="R79" s="43">
        <f t="shared" ca="1" si="10"/>
        <v>0.46597222222222218</v>
      </c>
      <c r="S79" s="43" t="str">
        <f t="shared" ca="1" si="11"/>
        <v/>
      </c>
      <c r="T79" s="43">
        <f t="shared" ca="1" si="12"/>
        <v>0.47152777777777771</v>
      </c>
      <c r="U79" s="43">
        <f t="shared" ca="1" si="13"/>
        <v>2.7777777777777679E-3</v>
      </c>
      <c r="V79" s="43" t="str">
        <f t="shared" ca="1" si="14"/>
        <v/>
      </c>
      <c r="W79" s="43">
        <f t="shared" ca="1" si="15"/>
        <v>2.7777777777777679E-3</v>
      </c>
      <c r="X79" s="43">
        <f t="shared" ca="1" si="16"/>
        <v>2.7777777777777679E-3</v>
      </c>
      <c r="Y79" s="43">
        <f t="shared" ca="1" si="17"/>
        <v>0.46527777777777746</v>
      </c>
      <c r="Z79">
        <f ca="1">COUNTIF($M$19:$M78,"&gt;"&amp;$F79)</f>
        <v>1</v>
      </c>
    </row>
    <row r="80" spans="1:26">
      <c r="A80">
        <f t="shared" ca="1" si="18"/>
        <v>61</v>
      </c>
      <c r="B80">
        <f t="shared" ca="1" si="4"/>
        <v>3</v>
      </c>
      <c r="C80" s="43">
        <f t="shared" ca="1" si="5"/>
        <v>2.0833333333333333E-3</v>
      </c>
      <c r="D80">
        <f t="shared" ca="1" si="23"/>
        <v>7</v>
      </c>
      <c r="E80" s="43">
        <f t="shared" ca="1" si="6"/>
        <v>4.8611111111111112E-3</v>
      </c>
      <c r="F80" s="43">
        <f t="shared" ca="1" si="24"/>
        <v>0.46458333333333302</v>
      </c>
      <c r="G80" s="43">
        <f t="shared" ca="1" si="20"/>
        <v>1.3888888888891615E-3</v>
      </c>
      <c r="H80" t="str">
        <f t="shared" ca="1" si="25"/>
        <v/>
      </c>
      <c r="I80" s="43" t="str">
        <f t="shared" ca="1" si="26"/>
        <v/>
      </c>
      <c r="J80" s="43">
        <f ca="1">IF(ISTEXT($F80),"",MAX($P$19:P79,$F80))</f>
        <v>0.47083333333333321</v>
      </c>
      <c r="K80" s="43">
        <f ca="1">IF(ISTEXT($F80),"",MAX($R$19:R79,$F80))</f>
        <v>0.46597222222222218</v>
      </c>
      <c r="L80" s="43">
        <f t="shared" ca="1" si="21"/>
        <v>0.47152777777777771</v>
      </c>
      <c r="M80" s="43">
        <f t="shared" ca="1" si="22"/>
        <v>0.46597222222222218</v>
      </c>
      <c r="N80">
        <f t="shared" ca="1" si="19"/>
        <v>2</v>
      </c>
      <c r="O80" s="43" t="str">
        <f t="shared" ca="1" si="7"/>
        <v/>
      </c>
      <c r="P80" s="43">
        <f t="shared" ca="1" si="8"/>
        <v>0.47083333333333321</v>
      </c>
      <c r="Q80" s="43">
        <f t="shared" ca="1" si="9"/>
        <v>0.46597222222222218</v>
      </c>
      <c r="R80" s="43">
        <f t="shared" ca="1" si="10"/>
        <v>0.47083333333333327</v>
      </c>
      <c r="S80" s="43" t="str">
        <f t="shared" ca="1" si="11"/>
        <v/>
      </c>
      <c r="T80" s="43">
        <f t="shared" ca="1" si="12"/>
        <v>0.47152777777777771</v>
      </c>
      <c r="U80" s="43" t="str">
        <f t="shared" ca="1" si="13"/>
        <v/>
      </c>
      <c r="V80" s="43">
        <f t="shared" ca="1" si="14"/>
        <v>0.46597222222222218</v>
      </c>
      <c r="W80" s="43">
        <f t="shared" ca="1" si="15"/>
        <v>6.2500000000002554E-3</v>
      </c>
      <c r="X80" s="43">
        <f t="shared" ca="1" si="16"/>
        <v>6.2500000000002727E-3</v>
      </c>
      <c r="Y80" s="43">
        <f t="shared" ca="1" si="17"/>
        <v>0.47083333333333327</v>
      </c>
      <c r="Z80">
        <f ca="1">COUNTIF($M$19:$M79,"&gt;"&amp;$F80)</f>
        <v>2</v>
      </c>
    </row>
    <row r="81" spans="1:26">
      <c r="A81">
        <f t="shared" ca="1" si="18"/>
        <v>62</v>
      </c>
      <c r="B81">
        <f t="shared" ca="1" si="4"/>
        <v>1</v>
      </c>
      <c r="C81" s="43">
        <f t="shared" ca="1" si="5"/>
        <v>6.9444444444444447E-4</v>
      </c>
      <c r="D81">
        <f t="shared" ca="1" si="23"/>
        <v>7</v>
      </c>
      <c r="E81" s="43">
        <f t="shared" ca="1" si="6"/>
        <v>4.8611111111111112E-3</v>
      </c>
      <c r="F81" s="43">
        <f t="shared" ca="1" si="24"/>
        <v>0.46527777777777746</v>
      </c>
      <c r="G81" s="43">
        <f t="shared" ca="1" si="20"/>
        <v>5.5555555555557579E-3</v>
      </c>
      <c r="H81" t="str">
        <f t="shared" ca="1" si="25"/>
        <v>ушел</v>
      </c>
      <c r="I81" s="43">
        <f t="shared" ca="1" si="26"/>
        <v>0.46805555555555522</v>
      </c>
      <c r="J81" s="43">
        <f ca="1">IF(ISTEXT($F81),"",MAX($P$19:P80,$F81))</f>
        <v>0.47083333333333321</v>
      </c>
      <c r="K81" s="43">
        <f ca="1">IF(ISTEXT($F81),"",MAX($R$19:R80,$F81))</f>
        <v>0.47083333333333327</v>
      </c>
      <c r="L81" s="43">
        <f t="shared" ca="1" si="21"/>
        <v>0.47152777777777771</v>
      </c>
      <c r="M81" s="43">
        <f t="shared" ca="1" si="22"/>
        <v>0.47083333333333321</v>
      </c>
      <c r="N81" t="str">
        <f t="shared" ca="1" si="19"/>
        <v/>
      </c>
      <c r="O81" s="43" t="str">
        <f t="shared" ca="1" si="7"/>
        <v/>
      </c>
      <c r="P81" s="43">
        <f t="shared" ca="1" si="8"/>
        <v>0.47083333333333321</v>
      </c>
      <c r="Q81" s="43" t="str">
        <f t="shared" ca="1" si="9"/>
        <v/>
      </c>
      <c r="R81" s="43">
        <f t="shared" ca="1" si="10"/>
        <v>0.47083333333333327</v>
      </c>
      <c r="S81" s="43" t="str">
        <f t="shared" ca="1" si="11"/>
        <v/>
      </c>
      <c r="T81" s="43">
        <f t="shared" ca="1" si="12"/>
        <v>0.47152777777777771</v>
      </c>
      <c r="U81" s="43">
        <f t="shared" ca="1" si="13"/>
        <v>2.7777777777777679E-3</v>
      </c>
      <c r="V81" s="43" t="str">
        <f t="shared" ca="1" si="14"/>
        <v/>
      </c>
      <c r="W81" s="43">
        <f t="shared" ca="1" si="15"/>
        <v>2.7777777777777679E-3</v>
      </c>
      <c r="X81" s="43">
        <f t="shared" ca="1" si="16"/>
        <v>2.7777777777777679E-3</v>
      </c>
      <c r="Y81" s="43">
        <f t="shared" ca="1" si="17"/>
        <v>0.46805555555555522</v>
      </c>
      <c r="Z81">
        <f ca="1">COUNTIF($M$19:$M80,"&gt;"&amp;$F81)</f>
        <v>3</v>
      </c>
    </row>
    <row r="82" spans="1:26">
      <c r="A82">
        <f t="shared" ca="1" si="18"/>
        <v>63</v>
      </c>
      <c r="B82">
        <f t="shared" ca="1" si="4"/>
        <v>1</v>
      </c>
      <c r="C82" s="43">
        <f t="shared" ca="1" si="5"/>
        <v>6.9444444444444447E-4</v>
      </c>
      <c r="D82">
        <f t="shared" ca="1" si="23"/>
        <v>9</v>
      </c>
      <c r="E82" s="43">
        <f t="shared" ca="1" si="6"/>
        <v>6.2500000000000003E-3</v>
      </c>
      <c r="F82" s="43">
        <f t="shared" ca="1" si="24"/>
        <v>0.4659722222222219</v>
      </c>
      <c r="G82" s="43">
        <f t="shared" ca="1" si="20"/>
        <v>4.8611111111113159E-3</v>
      </c>
      <c r="H82" t="str">
        <f t="shared" ca="1" si="25"/>
        <v>ушел</v>
      </c>
      <c r="I82" s="43">
        <f t="shared" ca="1" si="26"/>
        <v>0.46874999999999967</v>
      </c>
      <c r="J82" s="43">
        <f ca="1">IF(ISTEXT($F82),"",MAX($P$19:P81,$F82))</f>
        <v>0.47083333333333321</v>
      </c>
      <c r="K82" s="43">
        <f ca="1">IF(ISTEXT($F82),"",MAX($R$19:R81,$F82))</f>
        <v>0.47083333333333327</v>
      </c>
      <c r="L82" s="43">
        <f t="shared" ca="1" si="21"/>
        <v>0.47152777777777771</v>
      </c>
      <c r="M82" s="43">
        <f t="shared" ca="1" si="22"/>
        <v>0.47083333333333321</v>
      </c>
      <c r="N82" t="str">
        <f t="shared" ca="1" si="19"/>
        <v/>
      </c>
      <c r="O82" s="43" t="str">
        <f t="shared" ca="1" si="7"/>
        <v/>
      </c>
      <c r="P82" s="43">
        <f t="shared" ca="1" si="8"/>
        <v>0.47083333333333321</v>
      </c>
      <c r="Q82" s="43" t="str">
        <f t="shared" ca="1" si="9"/>
        <v/>
      </c>
      <c r="R82" s="43">
        <f t="shared" ca="1" si="10"/>
        <v>0.47083333333333327</v>
      </c>
      <c r="S82" s="43" t="str">
        <f t="shared" ca="1" si="11"/>
        <v/>
      </c>
      <c r="T82" s="43">
        <f t="shared" ca="1" si="12"/>
        <v>0.47152777777777771</v>
      </c>
      <c r="U82" s="43">
        <f t="shared" ca="1" si="13"/>
        <v>2.7777777777777679E-3</v>
      </c>
      <c r="V82" s="43" t="str">
        <f t="shared" ca="1" si="14"/>
        <v/>
      </c>
      <c r="W82" s="43">
        <f t="shared" ca="1" si="15"/>
        <v>2.7777777777777679E-3</v>
      </c>
      <c r="X82" s="43">
        <f t="shared" ca="1" si="16"/>
        <v>2.7777777777777679E-3</v>
      </c>
      <c r="Y82" s="43">
        <f t="shared" ca="1" si="17"/>
        <v>0.46874999999999967</v>
      </c>
      <c r="Z82">
        <f ca="1">COUNTIF($M$19:$M81,"&gt;"&amp;$F82)</f>
        <v>1</v>
      </c>
    </row>
    <row r="83" spans="1:26">
      <c r="A83">
        <f t="shared" ca="1" si="18"/>
        <v>64</v>
      </c>
      <c r="B83">
        <f t="shared" ca="1" si="4"/>
        <v>2</v>
      </c>
      <c r="C83" s="43">
        <f t="shared" ca="1" si="5"/>
        <v>1.3888888888888889E-3</v>
      </c>
      <c r="D83">
        <f t="shared" ca="1" si="23"/>
        <v>3</v>
      </c>
      <c r="E83" s="43">
        <f t="shared" ca="1" si="6"/>
        <v>2.0833333333333333E-3</v>
      </c>
      <c r="F83" s="43">
        <f t="shared" ca="1" si="24"/>
        <v>0.46736111111111078</v>
      </c>
      <c r="G83" s="43">
        <f t="shared" ca="1" si="20"/>
        <v>3.4722222222224319E-3</v>
      </c>
      <c r="H83" t="str">
        <f t="shared" ca="1" si="25"/>
        <v>ушел</v>
      </c>
      <c r="I83" s="43">
        <f t="shared" ca="1" si="26"/>
        <v>0.47013888888888855</v>
      </c>
      <c r="J83" s="43">
        <f ca="1">IF(ISTEXT($F83),"",MAX($P$19:P82,$F83))</f>
        <v>0.47083333333333321</v>
      </c>
      <c r="K83" s="43">
        <f ca="1">IF(ISTEXT($F83),"",MAX($R$19:R82,$F83))</f>
        <v>0.47083333333333327</v>
      </c>
      <c r="L83" s="43">
        <f t="shared" ca="1" si="21"/>
        <v>0.47152777777777771</v>
      </c>
      <c r="M83" s="43">
        <f t="shared" ca="1" si="22"/>
        <v>0.47083333333333321</v>
      </c>
      <c r="N83" t="str">
        <f t="shared" ca="1" si="19"/>
        <v/>
      </c>
      <c r="O83" s="43" t="str">
        <f t="shared" ca="1" si="7"/>
        <v/>
      </c>
      <c r="P83" s="43">
        <f t="shared" ca="1" si="8"/>
        <v>0.47083333333333321</v>
      </c>
      <c r="Q83" s="43" t="str">
        <f t="shared" ca="1" si="9"/>
        <v/>
      </c>
      <c r="R83" s="43">
        <f t="shared" ca="1" si="10"/>
        <v>0.47083333333333327</v>
      </c>
      <c r="S83" s="43" t="str">
        <f t="shared" ca="1" si="11"/>
        <v/>
      </c>
      <c r="T83" s="43">
        <f t="shared" ca="1" si="12"/>
        <v>0.47152777777777771</v>
      </c>
      <c r="U83" s="43">
        <f t="shared" ca="1" si="13"/>
        <v>2.7777777777777679E-3</v>
      </c>
      <c r="V83" s="43" t="str">
        <f t="shared" ca="1" si="14"/>
        <v/>
      </c>
      <c r="W83" s="43">
        <f t="shared" ca="1" si="15"/>
        <v>2.7777777777777679E-3</v>
      </c>
      <c r="X83" s="43">
        <f t="shared" ca="1" si="16"/>
        <v>2.7777777777777679E-3</v>
      </c>
      <c r="Y83" s="43">
        <f t="shared" ca="1" si="17"/>
        <v>0.47013888888888855</v>
      </c>
      <c r="Z83">
        <f ca="1">COUNTIF($M$19:$M82,"&gt;"&amp;$F83)</f>
        <v>2</v>
      </c>
    </row>
    <row r="84" spans="1:26">
      <c r="A84">
        <f t="shared" ca="1" si="18"/>
        <v>65</v>
      </c>
      <c r="B84">
        <f t="shared" ca="1" si="4"/>
        <v>2</v>
      </c>
      <c r="C84" s="43">
        <f t="shared" ca="1" si="5"/>
        <v>1.3888888888888889E-3</v>
      </c>
      <c r="D84">
        <f t="shared" ca="1" si="23"/>
        <v>3</v>
      </c>
      <c r="E84" s="43">
        <f t="shared" ca="1" si="6"/>
        <v>2.0833333333333333E-3</v>
      </c>
      <c r="F84" s="43">
        <f t="shared" ca="1" si="24"/>
        <v>0.46874999999999967</v>
      </c>
      <c r="G84" s="43">
        <f t="shared" ca="1" si="20"/>
        <v>2.083333333333548E-3</v>
      </c>
      <c r="H84" t="str">
        <f t="shared" ca="1" si="25"/>
        <v/>
      </c>
      <c r="I84" s="43" t="str">
        <f t="shared" ca="1" si="26"/>
        <v/>
      </c>
      <c r="J84" s="43">
        <f ca="1">IF(ISTEXT($F84),"",MAX($P$19:P83,$F84))</f>
        <v>0.47083333333333321</v>
      </c>
      <c r="K84" s="43">
        <f ca="1">IF(ISTEXT($F84),"",MAX($R$19:R83,$F84))</f>
        <v>0.47083333333333327</v>
      </c>
      <c r="L84" s="43">
        <f t="shared" ca="1" si="21"/>
        <v>0.47152777777777771</v>
      </c>
      <c r="M84" s="43">
        <f t="shared" ca="1" si="22"/>
        <v>0.47083333333333321</v>
      </c>
      <c r="N84">
        <f t="shared" ca="1" si="19"/>
        <v>1</v>
      </c>
      <c r="O84" s="43">
        <f t="shared" ca="1" si="7"/>
        <v>0.47083333333333321</v>
      </c>
      <c r="P84" s="43">
        <f t="shared" ca="1" si="8"/>
        <v>0.47291666666666654</v>
      </c>
      <c r="Q84" s="43" t="str">
        <f t="shared" ca="1" si="9"/>
        <v/>
      </c>
      <c r="R84" s="43">
        <f t="shared" ca="1" si="10"/>
        <v>0.47083333333333327</v>
      </c>
      <c r="S84" s="43" t="str">
        <f t="shared" ca="1" si="11"/>
        <v/>
      </c>
      <c r="T84" s="43">
        <f t="shared" ca="1" si="12"/>
        <v>0.47152777777777771</v>
      </c>
      <c r="U84" s="43" t="str">
        <f t="shared" ca="1" si="13"/>
        <v/>
      </c>
      <c r="V84" s="43">
        <f t="shared" ca="1" si="14"/>
        <v>0.47083333333333321</v>
      </c>
      <c r="W84" s="43">
        <f t="shared" ca="1" si="15"/>
        <v>4.1666666666668739E-3</v>
      </c>
      <c r="X84" s="43">
        <f t="shared" ca="1" si="16"/>
        <v>4.1666666666668808E-3</v>
      </c>
      <c r="Y84" s="43">
        <f t="shared" ca="1" si="17"/>
        <v>0.47291666666666654</v>
      </c>
      <c r="Z84">
        <f ca="1">COUNTIF($M$19:$M83,"&gt;"&amp;$F84)</f>
        <v>3</v>
      </c>
    </row>
    <row r="85" spans="1:26">
      <c r="A85">
        <f t="shared" ca="1" si="18"/>
        <v>66</v>
      </c>
      <c r="B85">
        <f t="shared" ref="B85:B119" ca="1" si="27">RANDBETWEEN(1,3)</f>
        <v>3</v>
      </c>
      <c r="C85" s="43">
        <f t="shared" ref="C85:C119" ca="1" si="28">B85/(60*24)</f>
        <v>2.0833333333333333E-3</v>
      </c>
      <c r="D85">
        <f t="shared" ca="1" si="23"/>
        <v>17</v>
      </c>
      <c r="E85" s="43">
        <f t="shared" ref="E85:E119" ca="1" si="29">D85/1440</f>
        <v>1.1805555555555555E-2</v>
      </c>
      <c r="F85" s="43">
        <f t="shared" ca="1" si="24"/>
        <v>0.47083333333333299</v>
      </c>
      <c r="G85" s="43">
        <f t="shared" ca="1" si="20"/>
        <v>2.7755575615628914E-16</v>
      </c>
      <c r="H85" t="str">
        <f t="shared" ca="1" si="25"/>
        <v/>
      </c>
      <c r="I85" s="43" t="str">
        <f t="shared" ca="1" si="26"/>
        <v/>
      </c>
      <c r="J85" s="43">
        <f ca="1">IF(ISTEXT($F85),"",MAX($P$19:P84,$F85))</f>
        <v>0.47291666666666654</v>
      </c>
      <c r="K85" s="43">
        <f ca="1">IF(ISTEXT($F85),"",MAX($R$19:R84,$F85))</f>
        <v>0.47083333333333327</v>
      </c>
      <c r="L85" s="43">
        <f t="shared" ca="1" si="21"/>
        <v>0.47152777777777771</v>
      </c>
      <c r="M85" s="43">
        <f t="shared" ca="1" si="22"/>
        <v>0.47083333333333327</v>
      </c>
      <c r="N85">
        <f t="shared" ca="1" si="19"/>
        <v>2</v>
      </c>
      <c r="O85" s="43" t="str">
        <f t="shared" ref="O85:O119" ca="1" si="30">IF($N85=1,M85,"")</f>
        <v/>
      </c>
      <c r="P85" s="43">
        <f t="shared" ref="P85:P119" ca="1" si="31">IF($N85=1,O85+$E85,P84)</f>
        <v>0.47291666666666654</v>
      </c>
      <c r="Q85" s="43">
        <f t="shared" ref="Q85:Q119" ca="1" si="32">IF($N85=2,M85,"")</f>
        <v>0.47083333333333327</v>
      </c>
      <c r="R85" s="43">
        <f t="shared" ref="R85:R119" ca="1" si="33">IF($N85=2,Q85+$E85,R84)</f>
        <v>0.48263888888888884</v>
      </c>
      <c r="S85" s="43" t="str">
        <f t="shared" ref="S85:S119" ca="1" si="34">IF($N85=3,M85,"")</f>
        <v/>
      </c>
      <c r="T85" s="43">
        <f t="shared" ref="T85:T119" ca="1" si="35">IF($N85=3,S85+$E85,T84)</f>
        <v>0.47152777777777771</v>
      </c>
      <c r="U85" s="43" t="str">
        <f t="shared" ref="U85:U119" ca="1" si="36">IF(H85="ушел",I85-F85,"")</f>
        <v/>
      </c>
      <c r="V85" s="43">
        <f t="shared" ref="V85:V119" ca="1" si="37">IF(H85="ушел","",F85+G85)</f>
        <v>0.47083333333333327</v>
      </c>
      <c r="W85" s="43">
        <f t="shared" ref="W85:W119" ca="1" si="38">Y85-F85</f>
        <v>1.1805555555555847E-2</v>
      </c>
      <c r="X85" s="43">
        <f t="shared" ref="X85:X119" ca="1" si="39">IF(H85="ушел",W85,$E85+G85)</f>
        <v>1.1805555555555833E-2</v>
      </c>
      <c r="Y85" s="43">
        <f t="shared" ref="Y85:Y119" ca="1" si="40">IF(H85="ушел",I85,CHOOSE(N85,P85,R85,T85))</f>
        <v>0.48263888888888884</v>
      </c>
      <c r="Z85">
        <f ca="1">COUNTIF($M$19:$M84,"&gt;"&amp;$F85)</f>
        <v>0</v>
      </c>
    </row>
    <row r="86" spans="1:26">
      <c r="A86">
        <f t="shared" ref="A86:A119" ca="1" si="41">IF(ISTEXT(F86),"закрыто",A85+1)</f>
        <v>67</v>
      </c>
      <c r="B86">
        <f t="shared" ca="1" si="27"/>
        <v>2</v>
      </c>
      <c r="C86" s="43">
        <f t="shared" ca="1" si="28"/>
        <v>1.3888888888888889E-3</v>
      </c>
      <c r="D86">
        <f t="shared" ca="1" si="23"/>
        <v>9</v>
      </c>
      <c r="E86" s="43">
        <f t="shared" ca="1" si="29"/>
        <v>6.2500000000000003E-3</v>
      </c>
      <c r="F86" s="43">
        <f t="shared" ca="1" si="24"/>
        <v>0.47222222222222188</v>
      </c>
      <c r="G86" s="43">
        <f t="shared" ca="1" si="20"/>
        <v>0</v>
      </c>
      <c r="H86" t="str">
        <f t="shared" ca="1" si="25"/>
        <v/>
      </c>
      <c r="I86" s="43" t="str">
        <f t="shared" ca="1" si="26"/>
        <v/>
      </c>
      <c r="J86" s="43">
        <f ca="1">IF(ISTEXT($F86),"",MAX($P$19:P85,$F86))</f>
        <v>0.47291666666666654</v>
      </c>
      <c r="K86" s="43">
        <f ca="1">IF(ISTEXT($F86),"",MAX($R$19:R85,$F86))</f>
        <v>0.48263888888888884</v>
      </c>
      <c r="L86" s="43">
        <f t="shared" ca="1" si="21"/>
        <v>0.47222222222222188</v>
      </c>
      <c r="M86" s="43">
        <f t="shared" ca="1" si="22"/>
        <v>0.47222222222222188</v>
      </c>
      <c r="N86">
        <f t="shared" ref="N86:N119" ca="1" si="42">IF(OR(ISTEXT(F86),H86="ушел"),"",MATCH(M86,J86:L86,0))</f>
        <v>3</v>
      </c>
      <c r="O86" s="43" t="str">
        <f t="shared" ca="1" si="30"/>
        <v/>
      </c>
      <c r="P86" s="43">
        <f t="shared" ca="1" si="31"/>
        <v>0.47291666666666654</v>
      </c>
      <c r="Q86" s="43" t="str">
        <f t="shared" ca="1" si="32"/>
        <v/>
      </c>
      <c r="R86" s="43">
        <f t="shared" ca="1" si="33"/>
        <v>0.48263888888888884</v>
      </c>
      <c r="S86" s="43">
        <f t="shared" ca="1" si="34"/>
        <v>0.47222222222222188</v>
      </c>
      <c r="T86" s="43">
        <f t="shared" ca="1" si="35"/>
        <v>0.47847222222222185</v>
      </c>
      <c r="U86" s="43" t="str">
        <f t="shared" ca="1" si="36"/>
        <v/>
      </c>
      <c r="V86" s="43">
        <f t="shared" ca="1" si="37"/>
        <v>0.47222222222222188</v>
      </c>
      <c r="W86" s="43">
        <f t="shared" ca="1" si="38"/>
        <v>6.2499999999999778E-3</v>
      </c>
      <c r="X86" s="43">
        <f t="shared" ca="1" si="39"/>
        <v>6.2500000000000003E-3</v>
      </c>
      <c r="Y86" s="43">
        <f t="shared" ca="1" si="40"/>
        <v>0.47847222222222185</v>
      </c>
      <c r="Z86">
        <f ca="1">COUNTIF($M$19:$M85,"&gt;"&amp;$F86)</f>
        <v>0</v>
      </c>
    </row>
    <row r="87" spans="1:26">
      <c r="A87">
        <f t="shared" ca="1" si="41"/>
        <v>68</v>
      </c>
      <c r="B87">
        <f t="shared" ca="1" si="27"/>
        <v>1</v>
      </c>
      <c r="C87" s="43">
        <f t="shared" ca="1" si="28"/>
        <v>6.9444444444444447E-4</v>
      </c>
      <c r="D87">
        <f t="shared" ca="1" si="23"/>
        <v>7</v>
      </c>
      <c r="E87" s="43">
        <f t="shared" ca="1" si="29"/>
        <v>4.8611111111111112E-3</v>
      </c>
      <c r="F87" s="43">
        <f t="shared" ca="1" si="24"/>
        <v>0.47291666666666632</v>
      </c>
      <c r="G87" s="43">
        <f t="shared" ref="G87:G119" ca="1" si="43">IF(ISTEXT(F87),"",M87-F87)</f>
        <v>2.2204460492503131E-16</v>
      </c>
      <c r="H87" t="str">
        <f t="shared" ca="1" si="25"/>
        <v/>
      </c>
      <c r="I87" s="43" t="str">
        <f t="shared" ca="1" si="26"/>
        <v/>
      </c>
      <c r="J87" s="43">
        <f ca="1">IF(ISTEXT($F87),"",MAX($P$19:P86,$F87))</f>
        <v>0.47291666666666654</v>
      </c>
      <c r="K87" s="43">
        <f ca="1">IF(ISTEXT($F87),"",MAX($R$19:R86,$F87))</f>
        <v>0.48263888888888884</v>
      </c>
      <c r="L87" s="43">
        <f t="shared" ref="L87:L119" ca="1" si="44">IF(ISTEXT($F87),"",MAX(T85:T86,$F87))</f>
        <v>0.47847222222222185</v>
      </c>
      <c r="M87" s="43">
        <f t="shared" ref="M87:M119" ca="1" si="45">IF(ISTEXT(F87),"",MIN(J87:L87))</f>
        <v>0.47291666666666654</v>
      </c>
      <c r="N87">
        <f t="shared" ca="1" si="42"/>
        <v>1</v>
      </c>
      <c r="O87" s="43">
        <f t="shared" ca="1" si="30"/>
        <v>0.47291666666666654</v>
      </c>
      <c r="P87" s="43">
        <f t="shared" ca="1" si="31"/>
        <v>0.47777777777777763</v>
      </c>
      <c r="Q87" s="43" t="str">
        <f t="shared" ca="1" si="32"/>
        <v/>
      </c>
      <c r="R87" s="43">
        <f t="shared" ca="1" si="33"/>
        <v>0.48263888888888884</v>
      </c>
      <c r="S87" s="43" t="str">
        <f t="shared" ca="1" si="34"/>
        <v/>
      </c>
      <c r="T87" s="43">
        <f t="shared" ca="1" si="35"/>
        <v>0.47847222222222185</v>
      </c>
      <c r="U87" s="43" t="str">
        <f t="shared" ca="1" si="36"/>
        <v/>
      </c>
      <c r="V87" s="43">
        <f t="shared" ca="1" si="37"/>
        <v>0.47291666666666654</v>
      </c>
      <c r="W87" s="43">
        <f t="shared" ca="1" si="38"/>
        <v>4.8611111111113159E-3</v>
      </c>
      <c r="X87" s="43">
        <f t="shared" ca="1" si="39"/>
        <v>4.8611111111113332E-3</v>
      </c>
      <c r="Y87" s="43">
        <f t="shared" ca="1" si="40"/>
        <v>0.47777777777777763</v>
      </c>
      <c r="Z87">
        <f ca="1">COUNTIF($M$19:$M86,"&gt;"&amp;$F87)</f>
        <v>0</v>
      </c>
    </row>
    <row r="88" spans="1:26">
      <c r="A88">
        <f t="shared" ca="1" si="41"/>
        <v>69</v>
      </c>
      <c r="B88">
        <f t="shared" ca="1" si="27"/>
        <v>3</v>
      </c>
      <c r="C88" s="43">
        <f t="shared" ca="1" si="28"/>
        <v>2.0833333333333333E-3</v>
      </c>
      <c r="D88">
        <f t="shared" ca="1" si="23"/>
        <v>7</v>
      </c>
      <c r="E88" s="43">
        <f t="shared" ca="1" si="29"/>
        <v>4.8611111111111112E-3</v>
      </c>
      <c r="F88" s="43">
        <f t="shared" ca="1" si="24"/>
        <v>0.47499999999999964</v>
      </c>
      <c r="G88" s="43">
        <f t="shared" ca="1" si="43"/>
        <v>2.77777777777799E-3</v>
      </c>
      <c r="H88" t="str">
        <f t="shared" ca="1" si="25"/>
        <v>ушел</v>
      </c>
      <c r="I88" s="43">
        <f t="shared" ca="1" si="26"/>
        <v>0.47777777777777741</v>
      </c>
      <c r="J88" s="43">
        <f ca="1">IF(ISTEXT($F88),"",MAX($P$19:P87,$F88))</f>
        <v>0.47777777777777763</v>
      </c>
      <c r="K88" s="43">
        <f ca="1">IF(ISTEXT($F88),"",MAX($R$19:R87,$F88))</f>
        <v>0.48263888888888884</v>
      </c>
      <c r="L88" s="43">
        <f t="shared" ca="1" si="44"/>
        <v>0.47847222222222185</v>
      </c>
      <c r="M88" s="43">
        <f t="shared" ca="1" si="45"/>
        <v>0.47777777777777763</v>
      </c>
      <c r="N88" t="str">
        <f t="shared" ca="1" si="42"/>
        <v/>
      </c>
      <c r="O88" s="43" t="str">
        <f t="shared" ca="1" si="30"/>
        <v/>
      </c>
      <c r="P88" s="43">
        <f t="shared" ca="1" si="31"/>
        <v>0.47777777777777763</v>
      </c>
      <c r="Q88" s="43" t="str">
        <f t="shared" ca="1" si="32"/>
        <v/>
      </c>
      <c r="R88" s="43">
        <f t="shared" ca="1" si="33"/>
        <v>0.48263888888888884</v>
      </c>
      <c r="S88" s="43" t="str">
        <f t="shared" ca="1" si="34"/>
        <v/>
      </c>
      <c r="T88" s="43">
        <f t="shared" ca="1" si="35"/>
        <v>0.47847222222222185</v>
      </c>
      <c r="U88" s="43">
        <f t="shared" ca="1" si="36"/>
        <v>2.7777777777777679E-3</v>
      </c>
      <c r="V88" s="43" t="str">
        <f t="shared" ca="1" si="37"/>
        <v/>
      </c>
      <c r="W88" s="43">
        <f t="shared" ca="1" si="38"/>
        <v>2.7777777777777679E-3</v>
      </c>
      <c r="X88" s="43">
        <f t="shared" ca="1" si="39"/>
        <v>2.7777777777777679E-3</v>
      </c>
      <c r="Y88" s="43">
        <f t="shared" ca="1" si="40"/>
        <v>0.47777777777777741</v>
      </c>
      <c r="Z88">
        <f ca="1">COUNTIF($M$19:$M87,"&gt;"&amp;$F88)</f>
        <v>0</v>
      </c>
    </row>
    <row r="89" spans="1:26">
      <c r="A89">
        <f t="shared" ca="1" si="41"/>
        <v>70</v>
      </c>
      <c r="B89">
        <f t="shared" ca="1" si="27"/>
        <v>1</v>
      </c>
      <c r="C89" s="43">
        <f t="shared" ca="1" si="28"/>
        <v>6.9444444444444447E-4</v>
      </c>
      <c r="D89">
        <f t="shared" ca="1" si="23"/>
        <v>17</v>
      </c>
      <c r="E89" s="43">
        <f t="shared" ca="1" si="29"/>
        <v>1.1805555555555555E-2</v>
      </c>
      <c r="F89" s="43">
        <f t="shared" ca="1" si="24"/>
        <v>0.47569444444444409</v>
      </c>
      <c r="G89" s="43">
        <f t="shared" ca="1" si="43"/>
        <v>2.083333333333548E-3</v>
      </c>
      <c r="H89" t="str">
        <f t="shared" ca="1" si="25"/>
        <v/>
      </c>
      <c r="I89" s="43" t="str">
        <f t="shared" ca="1" si="26"/>
        <v/>
      </c>
      <c r="J89" s="43">
        <f ca="1">IF(ISTEXT($F89),"",MAX($P$19:P88,$F89))</f>
        <v>0.47777777777777763</v>
      </c>
      <c r="K89" s="43">
        <f ca="1">IF(ISTEXT($F89),"",MAX($R$19:R88,$F89))</f>
        <v>0.48263888888888884</v>
      </c>
      <c r="L89" s="43">
        <f t="shared" ca="1" si="44"/>
        <v>0.47847222222222185</v>
      </c>
      <c r="M89" s="43">
        <f t="shared" ca="1" si="45"/>
        <v>0.47777777777777763</v>
      </c>
      <c r="N89">
        <f t="shared" ca="1" si="42"/>
        <v>1</v>
      </c>
      <c r="O89" s="43">
        <f t="shared" ca="1" si="30"/>
        <v>0.47777777777777763</v>
      </c>
      <c r="P89" s="43">
        <f t="shared" ca="1" si="31"/>
        <v>0.4895833333333332</v>
      </c>
      <c r="Q89" s="43" t="str">
        <f t="shared" ca="1" si="32"/>
        <v/>
      </c>
      <c r="R89" s="43">
        <f t="shared" ca="1" si="33"/>
        <v>0.48263888888888884</v>
      </c>
      <c r="S89" s="43" t="str">
        <f t="shared" ca="1" si="34"/>
        <v/>
      </c>
      <c r="T89" s="43">
        <f t="shared" ca="1" si="35"/>
        <v>0.47847222222222185</v>
      </c>
      <c r="U89" s="43" t="str">
        <f t="shared" ca="1" si="36"/>
        <v/>
      </c>
      <c r="V89" s="43">
        <f t="shared" ca="1" si="37"/>
        <v>0.47777777777777763</v>
      </c>
      <c r="W89" s="43">
        <f t="shared" ca="1" si="38"/>
        <v>1.3888888888889117E-2</v>
      </c>
      <c r="X89" s="43">
        <f t="shared" ca="1" si="39"/>
        <v>1.3888888888889103E-2</v>
      </c>
      <c r="Y89" s="43">
        <f t="shared" ca="1" si="40"/>
        <v>0.4895833333333332</v>
      </c>
      <c r="Z89">
        <f ca="1">COUNTIF($M$19:$M88,"&gt;"&amp;$F89)</f>
        <v>1</v>
      </c>
    </row>
    <row r="90" spans="1:26">
      <c r="A90">
        <f t="shared" ca="1" si="41"/>
        <v>71</v>
      </c>
      <c r="B90">
        <f t="shared" ca="1" si="27"/>
        <v>3</v>
      </c>
      <c r="C90" s="43">
        <f t="shared" ca="1" si="28"/>
        <v>2.0833333333333333E-3</v>
      </c>
      <c r="D90">
        <f t="shared" ca="1" si="23"/>
        <v>17</v>
      </c>
      <c r="E90" s="43">
        <f t="shared" ca="1" si="29"/>
        <v>1.1805555555555555E-2</v>
      </c>
      <c r="F90" s="43">
        <f t="shared" ca="1" si="24"/>
        <v>0.47777777777777741</v>
      </c>
      <c r="G90" s="43">
        <f t="shared" ca="1" si="43"/>
        <v>6.9444444444444198E-4</v>
      </c>
      <c r="H90" t="str">
        <f t="shared" ca="1" si="25"/>
        <v/>
      </c>
      <c r="I90" s="43" t="str">
        <f t="shared" ca="1" si="26"/>
        <v/>
      </c>
      <c r="J90" s="43">
        <f ca="1">IF(ISTEXT($F90),"",MAX($P$19:P89,$F90))</f>
        <v>0.4895833333333332</v>
      </c>
      <c r="K90" s="43">
        <f ca="1">IF(ISTEXT($F90),"",MAX($R$19:R89,$F90))</f>
        <v>0.48263888888888884</v>
      </c>
      <c r="L90" s="43">
        <f t="shared" ca="1" si="44"/>
        <v>0.47847222222222185</v>
      </c>
      <c r="M90" s="43">
        <f t="shared" ca="1" si="45"/>
        <v>0.47847222222222185</v>
      </c>
      <c r="N90">
        <f t="shared" ca="1" si="42"/>
        <v>3</v>
      </c>
      <c r="O90" s="43" t="str">
        <f t="shared" ca="1" si="30"/>
        <v/>
      </c>
      <c r="P90" s="43">
        <f t="shared" ca="1" si="31"/>
        <v>0.4895833333333332</v>
      </c>
      <c r="Q90" s="43" t="str">
        <f t="shared" ca="1" si="32"/>
        <v/>
      </c>
      <c r="R90" s="43">
        <f t="shared" ca="1" si="33"/>
        <v>0.48263888888888884</v>
      </c>
      <c r="S90" s="43">
        <f t="shared" ca="1" si="34"/>
        <v>0.47847222222222185</v>
      </c>
      <c r="T90" s="43">
        <f t="shared" ca="1" si="35"/>
        <v>0.49027777777777742</v>
      </c>
      <c r="U90" s="43" t="str">
        <f t="shared" ca="1" si="36"/>
        <v/>
      </c>
      <c r="V90" s="43">
        <f t="shared" ca="1" si="37"/>
        <v>0.47847222222222185</v>
      </c>
      <c r="W90" s="43">
        <f t="shared" ca="1" si="38"/>
        <v>1.2500000000000011E-2</v>
      </c>
      <c r="X90" s="43">
        <f t="shared" ca="1" si="39"/>
        <v>1.2499999999999997E-2</v>
      </c>
      <c r="Y90" s="43">
        <f t="shared" ca="1" si="40"/>
        <v>0.49027777777777742</v>
      </c>
      <c r="Z90">
        <f ca="1">COUNTIF($M$19:$M89,"&gt;"&amp;$F90)</f>
        <v>2</v>
      </c>
    </row>
    <row r="91" spans="1:26">
      <c r="A91">
        <f t="shared" ca="1" si="41"/>
        <v>72</v>
      </c>
      <c r="B91">
        <f t="shared" ca="1" si="27"/>
        <v>3</v>
      </c>
      <c r="C91" s="43">
        <f t="shared" ca="1" si="28"/>
        <v>2.0833333333333333E-3</v>
      </c>
      <c r="D91">
        <f t="shared" ca="1" si="23"/>
        <v>7</v>
      </c>
      <c r="E91" s="43">
        <f t="shared" ca="1" si="29"/>
        <v>4.8611111111111112E-3</v>
      </c>
      <c r="F91" s="43">
        <f t="shared" ca="1" si="24"/>
        <v>0.47986111111111074</v>
      </c>
      <c r="G91" s="43">
        <f t="shared" ca="1" si="43"/>
        <v>2.777777777778101E-3</v>
      </c>
      <c r="H91" t="str">
        <f t="shared" ca="1" si="25"/>
        <v>ушел</v>
      </c>
      <c r="I91" s="43">
        <f t="shared" ca="1" si="26"/>
        <v>0.48263888888888851</v>
      </c>
      <c r="J91" s="43">
        <f ca="1">IF(ISTEXT($F91),"",MAX($P$19:P90,$F91))</f>
        <v>0.4895833333333332</v>
      </c>
      <c r="K91" s="43">
        <f ca="1">IF(ISTEXT($F91),"",MAX($R$19:R90,$F91))</f>
        <v>0.48263888888888884</v>
      </c>
      <c r="L91" s="43">
        <f t="shared" ca="1" si="44"/>
        <v>0.49027777777777742</v>
      </c>
      <c r="M91" s="43">
        <f t="shared" ca="1" si="45"/>
        <v>0.48263888888888884</v>
      </c>
      <c r="N91" t="str">
        <f t="shared" ca="1" si="42"/>
        <v/>
      </c>
      <c r="O91" s="43" t="str">
        <f t="shared" ca="1" si="30"/>
        <v/>
      </c>
      <c r="P91" s="43">
        <f t="shared" ca="1" si="31"/>
        <v>0.4895833333333332</v>
      </c>
      <c r="Q91" s="43" t="str">
        <f t="shared" ca="1" si="32"/>
        <v/>
      </c>
      <c r="R91" s="43">
        <f t="shared" ca="1" si="33"/>
        <v>0.48263888888888884</v>
      </c>
      <c r="S91" s="43" t="str">
        <f t="shared" ca="1" si="34"/>
        <v/>
      </c>
      <c r="T91" s="43">
        <f t="shared" ca="1" si="35"/>
        <v>0.49027777777777742</v>
      </c>
      <c r="U91" s="43">
        <f t="shared" ca="1" si="36"/>
        <v>2.7777777777777679E-3</v>
      </c>
      <c r="V91" s="43" t="str">
        <f t="shared" ca="1" si="37"/>
        <v/>
      </c>
      <c r="W91" s="43">
        <f t="shared" ca="1" si="38"/>
        <v>2.7777777777777679E-3</v>
      </c>
      <c r="X91" s="43">
        <f t="shared" ca="1" si="39"/>
        <v>2.7777777777777679E-3</v>
      </c>
      <c r="Y91" s="43">
        <f t="shared" ca="1" si="40"/>
        <v>0.48263888888888851</v>
      </c>
      <c r="Z91">
        <f ca="1">COUNTIF($M$19:$M90,"&gt;"&amp;$F91)</f>
        <v>0</v>
      </c>
    </row>
    <row r="92" spans="1:26">
      <c r="A92">
        <f t="shared" ca="1" si="41"/>
        <v>73</v>
      </c>
      <c r="B92">
        <f t="shared" ca="1" si="27"/>
        <v>2</v>
      </c>
      <c r="C92" s="43">
        <f t="shared" ca="1" si="28"/>
        <v>1.3888888888888889E-3</v>
      </c>
      <c r="D92">
        <f t="shared" ca="1" si="23"/>
        <v>9</v>
      </c>
      <c r="E92" s="43">
        <f t="shared" ca="1" si="29"/>
        <v>6.2500000000000003E-3</v>
      </c>
      <c r="F92" s="43">
        <f t="shared" ca="1" si="24"/>
        <v>0.48124999999999962</v>
      </c>
      <c r="G92" s="43">
        <f t="shared" ca="1" si="43"/>
        <v>1.388888888889217E-3</v>
      </c>
      <c r="H92" t="str">
        <f t="shared" ca="1" si="25"/>
        <v/>
      </c>
      <c r="I92" s="43" t="str">
        <f t="shared" ca="1" si="26"/>
        <v/>
      </c>
      <c r="J92" s="43">
        <f ca="1">IF(ISTEXT($F92),"",MAX($P$19:P91,$F92))</f>
        <v>0.4895833333333332</v>
      </c>
      <c r="K92" s="43">
        <f ca="1">IF(ISTEXT($F92),"",MAX($R$19:R91,$F92))</f>
        <v>0.48263888888888884</v>
      </c>
      <c r="L92" s="43">
        <f t="shared" ca="1" si="44"/>
        <v>0.49027777777777742</v>
      </c>
      <c r="M92" s="43">
        <f t="shared" ca="1" si="45"/>
        <v>0.48263888888888884</v>
      </c>
      <c r="N92">
        <f t="shared" ca="1" si="42"/>
        <v>2</v>
      </c>
      <c r="O92" s="43" t="str">
        <f t="shared" ca="1" si="30"/>
        <v/>
      </c>
      <c r="P92" s="43">
        <f t="shared" ca="1" si="31"/>
        <v>0.4895833333333332</v>
      </c>
      <c r="Q92" s="43">
        <f t="shared" ca="1" si="32"/>
        <v>0.48263888888888884</v>
      </c>
      <c r="R92" s="43">
        <f t="shared" ca="1" si="33"/>
        <v>0.48888888888888882</v>
      </c>
      <c r="S92" s="43" t="str">
        <f t="shared" ca="1" si="34"/>
        <v/>
      </c>
      <c r="T92" s="43">
        <f t="shared" ca="1" si="35"/>
        <v>0.49027777777777742</v>
      </c>
      <c r="U92" s="43" t="str">
        <f t="shared" ca="1" si="36"/>
        <v/>
      </c>
      <c r="V92" s="43">
        <f t="shared" ca="1" si="37"/>
        <v>0.48263888888888884</v>
      </c>
      <c r="W92" s="43">
        <f t="shared" ca="1" si="38"/>
        <v>7.6388888888891948E-3</v>
      </c>
      <c r="X92" s="43">
        <f t="shared" ca="1" si="39"/>
        <v>7.6388888888892174E-3</v>
      </c>
      <c r="Y92" s="43">
        <f t="shared" ca="1" si="40"/>
        <v>0.48888888888888882</v>
      </c>
      <c r="Z92">
        <f ca="1">COUNTIF($M$19:$M91,"&gt;"&amp;$F92)</f>
        <v>1</v>
      </c>
    </row>
    <row r="93" spans="1:26">
      <c r="A93">
        <f t="shared" ca="1" si="41"/>
        <v>74</v>
      </c>
      <c r="B93">
        <f t="shared" ca="1" si="27"/>
        <v>1</v>
      </c>
      <c r="C93" s="43">
        <f t="shared" ca="1" si="28"/>
        <v>6.9444444444444447E-4</v>
      </c>
      <c r="D93">
        <f t="shared" ca="1" si="23"/>
        <v>17</v>
      </c>
      <c r="E93" s="43">
        <f t="shared" ca="1" si="29"/>
        <v>1.1805555555555555E-2</v>
      </c>
      <c r="F93" s="43">
        <f t="shared" ca="1" si="24"/>
        <v>0.48194444444444406</v>
      </c>
      <c r="G93" s="43">
        <f t="shared" ca="1" si="43"/>
        <v>6.9444444444447528E-3</v>
      </c>
      <c r="H93" t="str">
        <f t="shared" ca="1" si="25"/>
        <v>ушел</v>
      </c>
      <c r="I93" s="43">
        <f t="shared" ca="1" si="26"/>
        <v>0.48472222222222183</v>
      </c>
      <c r="J93" s="43">
        <f ca="1">IF(ISTEXT($F93),"",MAX($P$19:P92,$F93))</f>
        <v>0.4895833333333332</v>
      </c>
      <c r="K93" s="43">
        <f ca="1">IF(ISTEXT($F93),"",MAX($R$19:R92,$F93))</f>
        <v>0.48888888888888882</v>
      </c>
      <c r="L93" s="43">
        <f t="shared" ca="1" si="44"/>
        <v>0.49027777777777742</v>
      </c>
      <c r="M93" s="43">
        <f t="shared" ca="1" si="45"/>
        <v>0.48888888888888882</v>
      </c>
      <c r="N93" t="str">
        <f t="shared" ca="1" si="42"/>
        <v/>
      </c>
      <c r="O93" s="43" t="str">
        <f t="shared" ca="1" si="30"/>
        <v/>
      </c>
      <c r="P93" s="43">
        <f t="shared" ca="1" si="31"/>
        <v>0.4895833333333332</v>
      </c>
      <c r="Q93" s="43" t="str">
        <f t="shared" ca="1" si="32"/>
        <v/>
      </c>
      <c r="R93" s="43">
        <f t="shared" ca="1" si="33"/>
        <v>0.48888888888888882</v>
      </c>
      <c r="S93" s="43" t="str">
        <f t="shared" ca="1" si="34"/>
        <v/>
      </c>
      <c r="T93" s="43">
        <f t="shared" ca="1" si="35"/>
        <v>0.49027777777777742</v>
      </c>
      <c r="U93" s="43">
        <f t="shared" ca="1" si="36"/>
        <v>2.7777777777777679E-3</v>
      </c>
      <c r="V93" s="43" t="str">
        <f t="shared" ca="1" si="37"/>
        <v/>
      </c>
      <c r="W93" s="43">
        <f t="shared" ca="1" si="38"/>
        <v>2.7777777777777679E-3</v>
      </c>
      <c r="X93" s="43">
        <f t="shared" ca="1" si="39"/>
        <v>2.7777777777777679E-3</v>
      </c>
      <c r="Y93" s="43">
        <f t="shared" ca="1" si="40"/>
        <v>0.48472222222222183</v>
      </c>
      <c r="Z93">
        <f ca="1">COUNTIF($M$19:$M92,"&gt;"&amp;$F93)</f>
        <v>2</v>
      </c>
    </row>
    <row r="94" spans="1:26">
      <c r="A94">
        <f t="shared" ca="1" si="41"/>
        <v>75</v>
      </c>
      <c r="B94">
        <f t="shared" ca="1" si="27"/>
        <v>2</v>
      </c>
      <c r="C94" s="43">
        <f t="shared" ca="1" si="28"/>
        <v>1.3888888888888889E-3</v>
      </c>
      <c r="D94">
        <f t="shared" ca="1" si="23"/>
        <v>9</v>
      </c>
      <c r="E94" s="43">
        <f t="shared" ca="1" si="29"/>
        <v>6.2500000000000003E-3</v>
      </c>
      <c r="F94" s="43">
        <f t="shared" ca="1" si="24"/>
        <v>0.48333333333333295</v>
      </c>
      <c r="G94" s="43">
        <f t="shared" ca="1" si="43"/>
        <v>5.5555555555558689E-3</v>
      </c>
      <c r="H94" t="str">
        <f t="shared" ca="1" si="25"/>
        <v>ушел</v>
      </c>
      <c r="I94" s="43">
        <f t="shared" ca="1" si="26"/>
        <v>0.48611111111111072</v>
      </c>
      <c r="J94" s="43">
        <f ca="1">IF(ISTEXT($F94),"",MAX($P$19:P93,$F94))</f>
        <v>0.4895833333333332</v>
      </c>
      <c r="K94" s="43">
        <f ca="1">IF(ISTEXT($F94),"",MAX($R$19:R93,$F94))</f>
        <v>0.48888888888888882</v>
      </c>
      <c r="L94" s="43">
        <f t="shared" ca="1" si="44"/>
        <v>0.49027777777777742</v>
      </c>
      <c r="M94" s="43">
        <f t="shared" ca="1" si="45"/>
        <v>0.48888888888888882</v>
      </c>
      <c r="N94" t="str">
        <f t="shared" ca="1" si="42"/>
        <v/>
      </c>
      <c r="O94" s="43" t="str">
        <f t="shared" ca="1" si="30"/>
        <v/>
      </c>
      <c r="P94" s="43">
        <f t="shared" ca="1" si="31"/>
        <v>0.4895833333333332</v>
      </c>
      <c r="Q94" s="43" t="str">
        <f t="shared" ca="1" si="32"/>
        <v/>
      </c>
      <c r="R94" s="43">
        <f t="shared" ca="1" si="33"/>
        <v>0.48888888888888882</v>
      </c>
      <c r="S94" s="43" t="str">
        <f t="shared" ca="1" si="34"/>
        <v/>
      </c>
      <c r="T94" s="43">
        <f t="shared" ca="1" si="35"/>
        <v>0.49027777777777742</v>
      </c>
      <c r="U94" s="43">
        <f t="shared" ca="1" si="36"/>
        <v>2.7777777777777679E-3</v>
      </c>
      <c r="V94" s="43" t="str">
        <f t="shared" ca="1" si="37"/>
        <v/>
      </c>
      <c r="W94" s="43">
        <f t="shared" ca="1" si="38"/>
        <v>2.7777777777777679E-3</v>
      </c>
      <c r="X94" s="43">
        <f t="shared" ca="1" si="39"/>
        <v>2.7777777777777679E-3</v>
      </c>
      <c r="Y94" s="43">
        <f t="shared" ca="1" si="40"/>
        <v>0.48611111111111072</v>
      </c>
      <c r="Z94">
        <f ca="1">COUNTIF($M$19:$M93,"&gt;"&amp;$F94)</f>
        <v>1</v>
      </c>
    </row>
    <row r="95" spans="1:26">
      <c r="A95">
        <f t="shared" ca="1" si="41"/>
        <v>76</v>
      </c>
      <c r="B95">
        <f t="shared" ca="1" si="27"/>
        <v>2</v>
      </c>
      <c r="C95" s="43">
        <f t="shared" ca="1" si="28"/>
        <v>1.3888888888888889E-3</v>
      </c>
      <c r="D95">
        <f t="shared" ca="1" si="23"/>
        <v>7</v>
      </c>
      <c r="E95" s="43">
        <f t="shared" ca="1" si="29"/>
        <v>4.8611111111111112E-3</v>
      </c>
      <c r="F95" s="43">
        <f t="shared" ca="1" si="24"/>
        <v>0.48472222222222183</v>
      </c>
      <c r="G95" s="43">
        <f t="shared" ca="1" si="43"/>
        <v>4.1666666666669849E-3</v>
      </c>
      <c r="H95" t="str">
        <f t="shared" ca="1" si="25"/>
        <v>ушел</v>
      </c>
      <c r="I95" s="43">
        <f t="shared" ca="1" si="26"/>
        <v>0.4874999999999996</v>
      </c>
      <c r="J95" s="43">
        <f ca="1">IF(ISTEXT($F95),"",MAX($P$19:P94,$F95))</f>
        <v>0.4895833333333332</v>
      </c>
      <c r="K95" s="43">
        <f ca="1">IF(ISTEXT($F95),"",MAX($R$19:R94,$F95))</f>
        <v>0.48888888888888882</v>
      </c>
      <c r="L95" s="43">
        <f t="shared" ca="1" si="44"/>
        <v>0.49027777777777742</v>
      </c>
      <c r="M95" s="43">
        <f t="shared" ca="1" si="45"/>
        <v>0.48888888888888882</v>
      </c>
      <c r="N95" t="str">
        <f t="shared" ca="1" si="42"/>
        <v/>
      </c>
      <c r="O95" s="43" t="str">
        <f t="shared" ca="1" si="30"/>
        <v/>
      </c>
      <c r="P95" s="43">
        <f t="shared" ca="1" si="31"/>
        <v>0.4895833333333332</v>
      </c>
      <c r="Q95" s="43" t="str">
        <f t="shared" ca="1" si="32"/>
        <v/>
      </c>
      <c r="R95" s="43">
        <f t="shared" ca="1" si="33"/>
        <v>0.48888888888888882</v>
      </c>
      <c r="S95" s="43" t="str">
        <f t="shared" ca="1" si="34"/>
        <v/>
      </c>
      <c r="T95" s="43">
        <f t="shared" ca="1" si="35"/>
        <v>0.49027777777777742</v>
      </c>
      <c r="U95" s="43">
        <f t="shared" ca="1" si="36"/>
        <v>2.7777777777777679E-3</v>
      </c>
      <c r="V95" s="43" t="str">
        <f t="shared" ca="1" si="37"/>
        <v/>
      </c>
      <c r="W95" s="43">
        <f t="shared" ca="1" si="38"/>
        <v>2.7777777777777679E-3</v>
      </c>
      <c r="X95" s="43">
        <f t="shared" ca="1" si="39"/>
        <v>2.7777777777777679E-3</v>
      </c>
      <c r="Y95" s="43">
        <f t="shared" ca="1" si="40"/>
        <v>0.4874999999999996</v>
      </c>
      <c r="Z95">
        <f ca="1">COUNTIF($M$19:$M94,"&gt;"&amp;$F95)</f>
        <v>2</v>
      </c>
    </row>
    <row r="96" spans="1:26">
      <c r="A96">
        <f t="shared" ca="1" si="41"/>
        <v>77</v>
      </c>
      <c r="B96">
        <f t="shared" ca="1" si="27"/>
        <v>2</v>
      </c>
      <c r="C96" s="43">
        <f t="shared" ca="1" si="28"/>
        <v>1.3888888888888889E-3</v>
      </c>
      <c r="D96">
        <f t="shared" ca="1" si="23"/>
        <v>7</v>
      </c>
      <c r="E96" s="43">
        <f t="shared" ca="1" si="29"/>
        <v>4.8611111111111112E-3</v>
      </c>
      <c r="F96" s="43">
        <f t="shared" ca="1" si="24"/>
        <v>0.48611111111111072</v>
      </c>
      <c r="G96" s="43">
        <f t="shared" ca="1" si="43"/>
        <v>2.777777777778101E-3</v>
      </c>
      <c r="H96" t="str">
        <f t="shared" ca="1" si="25"/>
        <v>ушел</v>
      </c>
      <c r="I96" s="43">
        <f t="shared" ca="1" si="26"/>
        <v>0.48888888888888848</v>
      </c>
      <c r="J96" s="43">
        <f ca="1">IF(ISTEXT($F96),"",MAX($P$19:P95,$F96))</f>
        <v>0.4895833333333332</v>
      </c>
      <c r="K96" s="43">
        <f ca="1">IF(ISTEXT($F96),"",MAX($R$19:R95,$F96))</f>
        <v>0.48888888888888882</v>
      </c>
      <c r="L96" s="43">
        <f t="shared" ca="1" si="44"/>
        <v>0.49027777777777742</v>
      </c>
      <c r="M96" s="43">
        <f t="shared" ca="1" si="45"/>
        <v>0.48888888888888882</v>
      </c>
      <c r="N96" t="str">
        <f t="shared" ca="1" si="42"/>
        <v/>
      </c>
      <c r="O96" s="43" t="str">
        <f t="shared" ca="1" si="30"/>
        <v/>
      </c>
      <c r="P96" s="43">
        <f t="shared" ca="1" si="31"/>
        <v>0.4895833333333332</v>
      </c>
      <c r="Q96" s="43" t="str">
        <f t="shared" ca="1" si="32"/>
        <v/>
      </c>
      <c r="R96" s="43">
        <f t="shared" ca="1" si="33"/>
        <v>0.48888888888888882</v>
      </c>
      <c r="S96" s="43" t="str">
        <f t="shared" ca="1" si="34"/>
        <v/>
      </c>
      <c r="T96" s="43">
        <f t="shared" ca="1" si="35"/>
        <v>0.49027777777777742</v>
      </c>
      <c r="U96" s="43">
        <f t="shared" ca="1" si="36"/>
        <v>2.7777777777777679E-3</v>
      </c>
      <c r="V96" s="43" t="str">
        <f t="shared" ca="1" si="37"/>
        <v/>
      </c>
      <c r="W96" s="43">
        <f t="shared" ca="1" si="38"/>
        <v>2.7777777777777679E-3</v>
      </c>
      <c r="X96" s="43">
        <f t="shared" ca="1" si="39"/>
        <v>2.7777777777777679E-3</v>
      </c>
      <c r="Y96" s="43">
        <f t="shared" ca="1" si="40"/>
        <v>0.48888888888888848</v>
      </c>
      <c r="Z96">
        <f ca="1">COUNTIF($M$19:$M95,"&gt;"&amp;$F96)</f>
        <v>3</v>
      </c>
    </row>
    <row r="97" spans="1:26">
      <c r="A97">
        <f t="shared" ca="1" si="41"/>
        <v>78</v>
      </c>
      <c r="B97">
        <f t="shared" ca="1" si="27"/>
        <v>3</v>
      </c>
      <c r="C97" s="43">
        <f t="shared" ca="1" si="28"/>
        <v>2.0833333333333333E-3</v>
      </c>
      <c r="D97">
        <f t="shared" ca="1" si="23"/>
        <v>7</v>
      </c>
      <c r="E97" s="43">
        <f t="shared" ca="1" si="29"/>
        <v>4.8611111111111112E-3</v>
      </c>
      <c r="F97" s="43">
        <f t="shared" ca="1" si="24"/>
        <v>0.48819444444444404</v>
      </c>
      <c r="G97" s="43">
        <f t="shared" ca="1" si="43"/>
        <v>6.9444444444477504E-4</v>
      </c>
      <c r="H97" t="str">
        <f t="shared" ca="1" si="25"/>
        <v/>
      </c>
      <c r="I97" s="43" t="str">
        <f t="shared" ca="1" si="26"/>
        <v/>
      </c>
      <c r="J97" s="43">
        <f ca="1">IF(ISTEXT($F97),"",MAX($P$19:P96,$F97))</f>
        <v>0.4895833333333332</v>
      </c>
      <c r="K97" s="43">
        <f ca="1">IF(ISTEXT($F97),"",MAX($R$19:R96,$F97))</f>
        <v>0.48888888888888882</v>
      </c>
      <c r="L97" s="43">
        <f t="shared" ca="1" si="44"/>
        <v>0.49027777777777742</v>
      </c>
      <c r="M97" s="43">
        <f t="shared" ca="1" si="45"/>
        <v>0.48888888888888882</v>
      </c>
      <c r="N97">
        <f t="shared" ca="1" si="42"/>
        <v>2</v>
      </c>
      <c r="O97" s="43" t="str">
        <f t="shared" ca="1" si="30"/>
        <v/>
      </c>
      <c r="P97" s="43">
        <f t="shared" ca="1" si="31"/>
        <v>0.4895833333333332</v>
      </c>
      <c r="Q97" s="43">
        <f t="shared" ca="1" si="32"/>
        <v>0.48888888888888882</v>
      </c>
      <c r="R97" s="43">
        <f t="shared" ca="1" si="33"/>
        <v>0.49374999999999991</v>
      </c>
      <c r="S97" s="43" t="str">
        <f t="shared" ca="1" si="34"/>
        <v/>
      </c>
      <c r="T97" s="43">
        <f t="shared" ca="1" si="35"/>
        <v>0.49027777777777742</v>
      </c>
      <c r="U97" s="43" t="str">
        <f t="shared" ca="1" si="36"/>
        <v/>
      </c>
      <c r="V97" s="43">
        <f t="shared" ca="1" si="37"/>
        <v>0.48888888888888882</v>
      </c>
      <c r="W97" s="43">
        <f t="shared" ca="1" si="38"/>
        <v>5.5555555555558689E-3</v>
      </c>
      <c r="X97" s="43">
        <f t="shared" ca="1" si="39"/>
        <v>5.5555555555558862E-3</v>
      </c>
      <c r="Y97" s="43">
        <f t="shared" ca="1" si="40"/>
        <v>0.49374999999999991</v>
      </c>
      <c r="Z97">
        <f ca="1">COUNTIF($M$19:$M96,"&gt;"&amp;$F97)</f>
        <v>4</v>
      </c>
    </row>
    <row r="98" spans="1:26">
      <c r="A98">
        <f t="shared" ca="1" si="41"/>
        <v>79</v>
      </c>
      <c r="B98">
        <f t="shared" ca="1" si="27"/>
        <v>1</v>
      </c>
      <c r="C98" s="43">
        <f t="shared" ca="1" si="28"/>
        <v>6.9444444444444447E-4</v>
      </c>
      <c r="D98">
        <f t="shared" ca="1" si="23"/>
        <v>9</v>
      </c>
      <c r="E98" s="43">
        <f t="shared" ca="1" si="29"/>
        <v>6.2500000000000003E-3</v>
      </c>
      <c r="F98" s="43">
        <f t="shared" ca="1" si="24"/>
        <v>0.48888888888888848</v>
      </c>
      <c r="G98" s="43">
        <f t="shared" ca="1" si="43"/>
        <v>6.9444444444471953E-4</v>
      </c>
      <c r="H98" t="str">
        <f t="shared" ca="1" si="25"/>
        <v/>
      </c>
      <c r="I98" s="43" t="str">
        <f t="shared" ca="1" si="26"/>
        <v/>
      </c>
      <c r="J98" s="43">
        <f ca="1">IF(ISTEXT($F98),"",MAX($P$19:P97,$F98))</f>
        <v>0.4895833333333332</v>
      </c>
      <c r="K98" s="43">
        <f ca="1">IF(ISTEXT($F98),"",MAX($R$19:R97,$F98))</f>
        <v>0.49374999999999991</v>
      </c>
      <c r="L98" s="43">
        <f t="shared" ca="1" si="44"/>
        <v>0.49027777777777742</v>
      </c>
      <c r="M98" s="43">
        <f t="shared" ca="1" si="45"/>
        <v>0.4895833333333332</v>
      </c>
      <c r="N98">
        <f t="shared" ca="1" si="42"/>
        <v>1</v>
      </c>
      <c r="O98" s="43">
        <f t="shared" ca="1" si="30"/>
        <v>0.4895833333333332</v>
      </c>
      <c r="P98" s="43">
        <f t="shared" ca="1" si="31"/>
        <v>0.49583333333333318</v>
      </c>
      <c r="Q98" s="43" t="str">
        <f t="shared" ca="1" si="32"/>
        <v/>
      </c>
      <c r="R98" s="43">
        <f t="shared" ca="1" si="33"/>
        <v>0.49374999999999991</v>
      </c>
      <c r="S98" s="43" t="str">
        <f t="shared" ca="1" si="34"/>
        <v/>
      </c>
      <c r="T98" s="43">
        <f t="shared" ca="1" si="35"/>
        <v>0.49027777777777742</v>
      </c>
      <c r="U98" s="43" t="str">
        <f t="shared" ca="1" si="36"/>
        <v/>
      </c>
      <c r="V98" s="43">
        <f t="shared" ca="1" si="37"/>
        <v>0.4895833333333332</v>
      </c>
      <c r="W98" s="43">
        <f t="shared" ca="1" si="38"/>
        <v>6.9444444444446973E-3</v>
      </c>
      <c r="X98" s="43">
        <f t="shared" ca="1" si="39"/>
        <v>6.9444444444447199E-3</v>
      </c>
      <c r="Y98" s="43">
        <f t="shared" ca="1" si="40"/>
        <v>0.49583333333333318</v>
      </c>
      <c r="Z98">
        <f ca="1">COUNTIF($M$19:$M97,"&gt;"&amp;$F98)</f>
        <v>5</v>
      </c>
    </row>
    <row r="99" spans="1:26">
      <c r="A99">
        <f t="shared" ca="1" si="41"/>
        <v>80</v>
      </c>
      <c r="B99">
        <f t="shared" ca="1" si="27"/>
        <v>2</v>
      </c>
      <c r="C99" s="43">
        <f t="shared" ca="1" si="28"/>
        <v>1.3888888888888889E-3</v>
      </c>
      <c r="D99">
        <f t="shared" ca="1" si="23"/>
        <v>9</v>
      </c>
      <c r="E99" s="43">
        <f t="shared" ca="1" si="29"/>
        <v>6.2500000000000003E-3</v>
      </c>
      <c r="F99" s="43">
        <f t="shared" ca="1" si="24"/>
        <v>0.49027777777777737</v>
      </c>
      <c r="G99" s="43">
        <f t="shared" ca="1" si="43"/>
        <v>5.5511151231257827E-17</v>
      </c>
      <c r="H99" t="str">
        <f t="shared" ca="1" si="25"/>
        <v/>
      </c>
      <c r="I99" s="43" t="str">
        <f t="shared" ca="1" si="26"/>
        <v/>
      </c>
      <c r="J99" s="43">
        <f ca="1">IF(ISTEXT($F99),"",MAX($P$19:P98,$F99))</f>
        <v>0.49583333333333318</v>
      </c>
      <c r="K99" s="43">
        <f ca="1">IF(ISTEXT($F99),"",MAX($R$19:R98,$F99))</f>
        <v>0.49374999999999991</v>
      </c>
      <c r="L99" s="43">
        <f t="shared" ca="1" si="44"/>
        <v>0.49027777777777742</v>
      </c>
      <c r="M99" s="43">
        <f t="shared" ca="1" si="45"/>
        <v>0.49027777777777742</v>
      </c>
      <c r="N99">
        <f t="shared" ca="1" si="42"/>
        <v>3</v>
      </c>
      <c r="O99" s="43" t="str">
        <f t="shared" ca="1" si="30"/>
        <v/>
      </c>
      <c r="P99" s="43">
        <f t="shared" ca="1" si="31"/>
        <v>0.49583333333333318</v>
      </c>
      <c r="Q99" s="43" t="str">
        <f t="shared" ca="1" si="32"/>
        <v/>
      </c>
      <c r="R99" s="43">
        <f t="shared" ca="1" si="33"/>
        <v>0.49374999999999991</v>
      </c>
      <c r="S99" s="43">
        <f t="shared" ca="1" si="34"/>
        <v>0.49027777777777742</v>
      </c>
      <c r="T99" s="43">
        <f t="shared" ca="1" si="35"/>
        <v>0.4965277777777774</v>
      </c>
      <c r="U99" s="43" t="str">
        <f t="shared" ca="1" si="36"/>
        <v/>
      </c>
      <c r="V99" s="43">
        <f t="shared" ca="1" si="37"/>
        <v>0.49027777777777742</v>
      </c>
      <c r="W99" s="43">
        <f t="shared" ca="1" si="38"/>
        <v>6.2500000000000333E-3</v>
      </c>
      <c r="X99" s="43">
        <f t="shared" ca="1" si="39"/>
        <v>6.2500000000000559E-3</v>
      </c>
      <c r="Y99" s="43">
        <f t="shared" ca="1" si="40"/>
        <v>0.4965277777777774</v>
      </c>
      <c r="Z99">
        <f ca="1">COUNTIF($M$19:$M98,"&gt;"&amp;$F99)</f>
        <v>0</v>
      </c>
    </row>
    <row r="100" spans="1:26">
      <c r="A100">
        <f t="shared" ca="1" si="41"/>
        <v>81</v>
      </c>
      <c r="B100">
        <f t="shared" ca="1" si="27"/>
        <v>3</v>
      </c>
      <c r="C100" s="43">
        <f t="shared" ca="1" si="28"/>
        <v>2.0833333333333333E-3</v>
      </c>
      <c r="D100">
        <f t="shared" ca="1" si="23"/>
        <v>7</v>
      </c>
      <c r="E100" s="43">
        <f t="shared" ca="1" si="29"/>
        <v>4.8611111111111112E-3</v>
      </c>
      <c r="F100" s="43">
        <f t="shared" ca="1" si="24"/>
        <v>0.49236111111111069</v>
      </c>
      <c r="G100" s="43">
        <f t="shared" ca="1" si="43"/>
        <v>1.388888888889217E-3</v>
      </c>
      <c r="H100" t="str">
        <f t="shared" ca="1" si="25"/>
        <v/>
      </c>
      <c r="I100" s="43" t="str">
        <f t="shared" ca="1" si="26"/>
        <v/>
      </c>
      <c r="J100" s="43">
        <f ca="1">IF(ISTEXT($F100),"",MAX($P$19:P99,$F100))</f>
        <v>0.49583333333333318</v>
      </c>
      <c r="K100" s="43">
        <f ca="1">IF(ISTEXT($F100),"",MAX($R$19:R99,$F100))</f>
        <v>0.49374999999999991</v>
      </c>
      <c r="L100" s="43">
        <f t="shared" ca="1" si="44"/>
        <v>0.4965277777777774</v>
      </c>
      <c r="M100" s="43">
        <f t="shared" ca="1" si="45"/>
        <v>0.49374999999999991</v>
      </c>
      <c r="N100">
        <f t="shared" ca="1" si="42"/>
        <v>2</v>
      </c>
      <c r="O100" s="43" t="str">
        <f t="shared" ca="1" si="30"/>
        <v/>
      </c>
      <c r="P100" s="43">
        <f t="shared" ca="1" si="31"/>
        <v>0.49583333333333318</v>
      </c>
      <c r="Q100" s="43">
        <f t="shared" ca="1" si="32"/>
        <v>0.49374999999999991</v>
      </c>
      <c r="R100" s="43">
        <f t="shared" ca="1" si="33"/>
        <v>0.49861111111111101</v>
      </c>
      <c r="S100" s="43" t="str">
        <f t="shared" ca="1" si="34"/>
        <v/>
      </c>
      <c r="T100" s="43">
        <f t="shared" ca="1" si="35"/>
        <v>0.4965277777777774</v>
      </c>
      <c r="U100" s="43" t="str">
        <f t="shared" ca="1" si="36"/>
        <v/>
      </c>
      <c r="V100" s="43">
        <f t="shared" ca="1" si="37"/>
        <v>0.49374999999999991</v>
      </c>
      <c r="W100" s="43">
        <f t="shared" ca="1" si="38"/>
        <v>6.2500000000003109E-3</v>
      </c>
      <c r="X100" s="43">
        <f t="shared" ca="1" si="39"/>
        <v>6.2500000000003282E-3</v>
      </c>
      <c r="Y100" s="43">
        <f t="shared" ca="1" si="40"/>
        <v>0.49861111111111101</v>
      </c>
      <c r="Z100">
        <f ca="1">COUNTIF($M$19:$M99,"&gt;"&amp;$F100)</f>
        <v>0</v>
      </c>
    </row>
    <row r="101" spans="1:26">
      <c r="A101">
        <f t="shared" ca="1" si="41"/>
        <v>82</v>
      </c>
      <c r="B101">
        <f t="shared" ca="1" si="27"/>
        <v>3</v>
      </c>
      <c r="C101" s="43">
        <f t="shared" ca="1" si="28"/>
        <v>2.0833333333333333E-3</v>
      </c>
      <c r="D101">
        <f t="shared" ca="1" si="23"/>
        <v>9</v>
      </c>
      <c r="E101" s="43">
        <f t="shared" ca="1" si="29"/>
        <v>6.2500000000000003E-3</v>
      </c>
      <c r="F101" s="43">
        <f t="shared" ca="1" si="24"/>
        <v>0.49444444444444402</v>
      </c>
      <c r="G101" s="43">
        <f t="shared" ca="1" si="43"/>
        <v>1.3888888888891615E-3</v>
      </c>
      <c r="H101" t="str">
        <f t="shared" ca="1" si="25"/>
        <v/>
      </c>
      <c r="I101" s="43" t="str">
        <f t="shared" ca="1" si="26"/>
        <v/>
      </c>
      <c r="J101" s="43">
        <f ca="1">IF(ISTEXT($F101),"",MAX($P$19:P100,$F101))</f>
        <v>0.49583333333333318</v>
      </c>
      <c r="K101" s="43">
        <f ca="1">IF(ISTEXT($F101),"",MAX($R$19:R100,$F101))</f>
        <v>0.49861111111111101</v>
      </c>
      <c r="L101" s="43">
        <f t="shared" ca="1" si="44"/>
        <v>0.4965277777777774</v>
      </c>
      <c r="M101" s="43">
        <f t="shared" ca="1" si="45"/>
        <v>0.49583333333333318</v>
      </c>
      <c r="N101">
        <f t="shared" ca="1" si="42"/>
        <v>1</v>
      </c>
      <c r="O101" s="43">
        <f t="shared" ca="1" si="30"/>
        <v>0.49583333333333318</v>
      </c>
      <c r="P101" s="43">
        <f t="shared" ca="1" si="31"/>
        <v>0.50208333333333321</v>
      </c>
      <c r="Q101" s="43" t="str">
        <f t="shared" ca="1" si="32"/>
        <v/>
      </c>
      <c r="R101" s="43">
        <f t="shared" ca="1" si="33"/>
        <v>0.49861111111111101</v>
      </c>
      <c r="S101" s="43" t="str">
        <f t="shared" ca="1" si="34"/>
        <v/>
      </c>
      <c r="T101" s="43">
        <f t="shared" ca="1" si="35"/>
        <v>0.4965277777777774</v>
      </c>
      <c r="U101" s="43" t="str">
        <f t="shared" ca="1" si="36"/>
        <v/>
      </c>
      <c r="V101" s="43">
        <f t="shared" ca="1" si="37"/>
        <v>0.49583333333333318</v>
      </c>
      <c r="W101" s="43">
        <f t="shared" ca="1" si="38"/>
        <v>7.6388888888891948E-3</v>
      </c>
      <c r="X101" s="43">
        <f t="shared" ca="1" si="39"/>
        <v>7.6388888888891619E-3</v>
      </c>
      <c r="Y101" s="43">
        <f t="shared" ca="1" si="40"/>
        <v>0.50208333333333321</v>
      </c>
      <c r="Z101">
        <f ca="1">COUNTIF($M$19:$M100,"&gt;"&amp;$F101)</f>
        <v>0</v>
      </c>
    </row>
    <row r="102" spans="1:26">
      <c r="A102">
        <f t="shared" ca="1" si="41"/>
        <v>83</v>
      </c>
      <c r="B102">
        <f t="shared" ca="1" si="27"/>
        <v>2</v>
      </c>
      <c r="C102" s="43">
        <f t="shared" ca="1" si="28"/>
        <v>1.3888888888888889E-3</v>
      </c>
      <c r="D102">
        <f t="shared" ca="1" si="23"/>
        <v>7</v>
      </c>
      <c r="E102" s="43">
        <f t="shared" ca="1" si="29"/>
        <v>4.8611111111111112E-3</v>
      </c>
      <c r="F102" s="43">
        <f t="shared" ca="1" si="24"/>
        <v>0.4958333333333329</v>
      </c>
      <c r="G102" s="43">
        <f t="shared" ca="1" si="43"/>
        <v>6.9444444444449749E-4</v>
      </c>
      <c r="H102" t="str">
        <f t="shared" ca="1" si="25"/>
        <v/>
      </c>
      <c r="I102" s="43" t="str">
        <f t="shared" ca="1" si="26"/>
        <v/>
      </c>
      <c r="J102" s="43">
        <f ca="1">IF(ISTEXT($F102),"",MAX($P$19:P101,$F102))</f>
        <v>0.50208333333333321</v>
      </c>
      <c r="K102" s="43">
        <f ca="1">IF(ISTEXT($F102),"",MAX($R$19:R101,$F102))</f>
        <v>0.49861111111111101</v>
      </c>
      <c r="L102" s="43">
        <f t="shared" ca="1" si="44"/>
        <v>0.4965277777777774</v>
      </c>
      <c r="M102" s="43">
        <f t="shared" ca="1" si="45"/>
        <v>0.4965277777777774</v>
      </c>
      <c r="N102">
        <f t="shared" ca="1" si="42"/>
        <v>3</v>
      </c>
      <c r="O102" s="43" t="str">
        <f t="shared" ca="1" si="30"/>
        <v/>
      </c>
      <c r="P102" s="43">
        <f t="shared" ca="1" si="31"/>
        <v>0.50208333333333321</v>
      </c>
      <c r="Q102" s="43" t="str">
        <f t="shared" ca="1" si="32"/>
        <v/>
      </c>
      <c r="R102" s="43">
        <f t="shared" ca="1" si="33"/>
        <v>0.49861111111111101</v>
      </c>
      <c r="S102" s="43">
        <f t="shared" ca="1" si="34"/>
        <v>0.4965277777777774</v>
      </c>
      <c r="T102" s="43">
        <f t="shared" ca="1" si="35"/>
        <v>0.50138888888888855</v>
      </c>
      <c r="U102" s="43" t="str">
        <f t="shared" ca="1" si="36"/>
        <v/>
      </c>
      <c r="V102" s="43">
        <f t="shared" ca="1" si="37"/>
        <v>0.4965277777777774</v>
      </c>
      <c r="W102" s="43">
        <f t="shared" ca="1" si="38"/>
        <v>5.5555555555556468E-3</v>
      </c>
      <c r="X102" s="43">
        <f t="shared" ca="1" si="39"/>
        <v>5.5555555555556087E-3</v>
      </c>
      <c r="Y102" s="43">
        <f t="shared" ca="1" si="40"/>
        <v>0.50138888888888855</v>
      </c>
      <c r="Z102">
        <f ca="1">COUNTIF($M$19:$M101,"&gt;"&amp;$F102)</f>
        <v>0</v>
      </c>
    </row>
    <row r="103" spans="1:26">
      <c r="A103">
        <f t="shared" ca="1" si="41"/>
        <v>84</v>
      </c>
      <c r="B103">
        <f t="shared" ca="1" si="27"/>
        <v>1</v>
      </c>
      <c r="C103" s="43">
        <f t="shared" ca="1" si="28"/>
        <v>6.9444444444444447E-4</v>
      </c>
      <c r="D103">
        <f t="shared" ca="1" si="23"/>
        <v>17</v>
      </c>
      <c r="E103" s="43">
        <f t="shared" ca="1" si="29"/>
        <v>1.1805555555555555E-2</v>
      </c>
      <c r="F103" s="43">
        <f t="shared" ca="1" si="24"/>
        <v>0.49652777777777735</v>
      </c>
      <c r="G103" s="43">
        <f t="shared" ca="1" si="43"/>
        <v>2.083333333333659E-3</v>
      </c>
      <c r="H103" t="str">
        <f t="shared" ca="1" si="25"/>
        <v/>
      </c>
      <c r="I103" s="43" t="str">
        <f t="shared" ca="1" si="26"/>
        <v/>
      </c>
      <c r="J103" s="43">
        <f ca="1">IF(ISTEXT($F103),"",MAX($P$19:P102,$F103))</f>
        <v>0.50208333333333321</v>
      </c>
      <c r="K103" s="43">
        <f ca="1">IF(ISTEXT($F103),"",MAX($R$19:R102,$F103))</f>
        <v>0.49861111111111101</v>
      </c>
      <c r="L103" s="43">
        <f t="shared" ca="1" si="44"/>
        <v>0.50138888888888855</v>
      </c>
      <c r="M103" s="43">
        <f t="shared" ca="1" si="45"/>
        <v>0.49861111111111101</v>
      </c>
      <c r="N103">
        <f t="shared" ca="1" si="42"/>
        <v>2</v>
      </c>
      <c r="O103" s="43" t="str">
        <f t="shared" ca="1" si="30"/>
        <v/>
      </c>
      <c r="P103" s="43">
        <f t="shared" ca="1" si="31"/>
        <v>0.50208333333333321</v>
      </c>
      <c r="Q103" s="43">
        <f t="shared" ca="1" si="32"/>
        <v>0.49861111111111101</v>
      </c>
      <c r="R103" s="43">
        <f t="shared" ca="1" si="33"/>
        <v>0.51041666666666652</v>
      </c>
      <c r="S103" s="43" t="str">
        <f t="shared" ca="1" si="34"/>
        <v/>
      </c>
      <c r="T103" s="43">
        <f t="shared" ca="1" si="35"/>
        <v>0.50138888888888855</v>
      </c>
      <c r="U103" s="43" t="str">
        <f t="shared" ca="1" si="36"/>
        <v/>
      </c>
      <c r="V103" s="43">
        <f t="shared" ca="1" si="37"/>
        <v>0.49861111111111101</v>
      </c>
      <c r="W103" s="43">
        <f t="shared" ca="1" si="38"/>
        <v>1.3888888888889173E-2</v>
      </c>
      <c r="X103" s="43">
        <f t="shared" ca="1" si="39"/>
        <v>1.3888888888889214E-2</v>
      </c>
      <c r="Y103" s="43">
        <f t="shared" ca="1" si="40"/>
        <v>0.51041666666666652</v>
      </c>
      <c r="Z103">
        <f ca="1">COUNTIF($M$19:$M102,"&gt;"&amp;$F103)</f>
        <v>0</v>
      </c>
    </row>
    <row r="104" spans="1:26">
      <c r="A104">
        <f t="shared" ca="1" si="41"/>
        <v>85</v>
      </c>
      <c r="B104">
        <f t="shared" ca="1" si="27"/>
        <v>3</v>
      </c>
      <c r="C104" s="43">
        <f t="shared" ca="1" si="28"/>
        <v>2.0833333333333333E-3</v>
      </c>
      <c r="D104">
        <f t="shared" ca="1" si="23"/>
        <v>9</v>
      </c>
      <c r="E104" s="43">
        <f t="shared" ca="1" si="29"/>
        <v>6.2500000000000003E-3</v>
      </c>
      <c r="F104" s="43">
        <f t="shared" ca="1" si="24"/>
        <v>0.49861111111111067</v>
      </c>
      <c r="G104" s="43">
        <f t="shared" ca="1" si="43"/>
        <v>2.7777777777778789E-3</v>
      </c>
      <c r="H104" t="str">
        <f t="shared" ca="1" si="25"/>
        <v>ушел</v>
      </c>
      <c r="I104" s="43">
        <f t="shared" ca="1" si="26"/>
        <v>0.50138888888888844</v>
      </c>
      <c r="J104" s="43">
        <f ca="1">IF(ISTEXT($F104),"",MAX($P$19:P103,$F104))</f>
        <v>0.50208333333333321</v>
      </c>
      <c r="K104" s="43">
        <f ca="1">IF(ISTEXT($F104),"",MAX($R$19:R103,$F104))</f>
        <v>0.51041666666666652</v>
      </c>
      <c r="L104" s="43">
        <f t="shared" ca="1" si="44"/>
        <v>0.50138888888888855</v>
      </c>
      <c r="M104" s="43">
        <f t="shared" ca="1" si="45"/>
        <v>0.50138888888888855</v>
      </c>
      <c r="N104" t="str">
        <f t="shared" ca="1" si="42"/>
        <v/>
      </c>
      <c r="O104" s="43" t="str">
        <f t="shared" ca="1" si="30"/>
        <v/>
      </c>
      <c r="P104" s="43">
        <f t="shared" ca="1" si="31"/>
        <v>0.50208333333333321</v>
      </c>
      <c r="Q104" s="43" t="str">
        <f t="shared" ca="1" si="32"/>
        <v/>
      </c>
      <c r="R104" s="43">
        <f t="shared" ca="1" si="33"/>
        <v>0.51041666666666652</v>
      </c>
      <c r="S104" s="43" t="str">
        <f t="shared" ca="1" si="34"/>
        <v/>
      </c>
      <c r="T104" s="43">
        <f t="shared" ca="1" si="35"/>
        <v>0.50138888888888855</v>
      </c>
      <c r="U104" s="43">
        <f t="shared" ca="1" si="36"/>
        <v>2.7777777777777679E-3</v>
      </c>
      <c r="V104" s="43" t="str">
        <f t="shared" ca="1" si="37"/>
        <v/>
      </c>
      <c r="W104" s="43">
        <f t="shared" ca="1" si="38"/>
        <v>2.7777777777777679E-3</v>
      </c>
      <c r="X104" s="43">
        <f t="shared" ca="1" si="39"/>
        <v>2.7777777777777679E-3</v>
      </c>
      <c r="Y104" s="43">
        <f t="shared" ca="1" si="40"/>
        <v>0.50138888888888844</v>
      </c>
      <c r="Z104">
        <f ca="1">COUNTIF($M$19:$M103,"&gt;"&amp;$F104)</f>
        <v>0</v>
      </c>
    </row>
    <row r="105" spans="1:26">
      <c r="A105">
        <f t="shared" ca="1" si="41"/>
        <v>86</v>
      </c>
      <c r="B105">
        <f t="shared" ca="1" si="27"/>
        <v>2</v>
      </c>
      <c r="C105" s="43">
        <f t="shared" ca="1" si="28"/>
        <v>1.3888888888888889E-3</v>
      </c>
      <c r="D105">
        <f t="shared" ca="1" si="23"/>
        <v>9</v>
      </c>
      <c r="E105" s="43">
        <f t="shared" ca="1" si="29"/>
        <v>6.2500000000000003E-3</v>
      </c>
      <c r="F105" s="43">
        <f t="shared" ca="1" si="24"/>
        <v>0.49999999999999956</v>
      </c>
      <c r="G105" s="43">
        <f t="shared" ca="1" si="43"/>
        <v>1.388888888888995E-3</v>
      </c>
      <c r="H105" t="str">
        <f t="shared" ca="1" si="25"/>
        <v/>
      </c>
      <c r="I105" s="43" t="str">
        <f t="shared" ca="1" si="26"/>
        <v/>
      </c>
      <c r="J105" s="43">
        <f ca="1">IF(ISTEXT($F105),"",MAX($P$19:P104,$F105))</f>
        <v>0.50208333333333321</v>
      </c>
      <c r="K105" s="43">
        <f ca="1">IF(ISTEXT($F105),"",MAX($R$19:R104,$F105))</f>
        <v>0.51041666666666652</v>
      </c>
      <c r="L105" s="43">
        <f t="shared" ca="1" si="44"/>
        <v>0.50138888888888855</v>
      </c>
      <c r="M105" s="43">
        <f t="shared" ca="1" si="45"/>
        <v>0.50138888888888855</v>
      </c>
      <c r="N105">
        <f t="shared" ca="1" si="42"/>
        <v>3</v>
      </c>
      <c r="O105" s="43" t="str">
        <f t="shared" ca="1" si="30"/>
        <v/>
      </c>
      <c r="P105" s="43">
        <f t="shared" ca="1" si="31"/>
        <v>0.50208333333333321</v>
      </c>
      <c r="Q105" s="43" t="str">
        <f t="shared" ca="1" si="32"/>
        <v/>
      </c>
      <c r="R105" s="43">
        <f t="shared" ca="1" si="33"/>
        <v>0.51041666666666652</v>
      </c>
      <c r="S105" s="43">
        <f t="shared" ca="1" si="34"/>
        <v>0.50138888888888855</v>
      </c>
      <c r="T105" s="43">
        <f t="shared" ca="1" si="35"/>
        <v>0.50763888888888853</v>
      </c>
      <c r="U105" s="43" t="str">
        <f t="shared" ca="1" si="36"/>
        <v/>
      </c>
      <c r="V105" s="43">
        <f t="shared" ca="1" si="37"/>
        <v>0.50138888888888855</v>
      </c>
      <c r="W105" s="43">
        <f t="shared" ca="1" si="38"/>
        <v>7.6388888888889728E-3</v>
      </c>
      <c r="X105" s="43">
        <f t="shared" ca="1" si="39"/>
        <v>7.6388888888889953E-3</v>
      </c>
      <c r="Y105" s="43">
        <f t="shared" ca="1" si="40"/>
        <v>0.50763888888888853</v>
      </c>
      <c r="Z105">
        <f ca="1">COUNTIF($M$19:$M104,"&gt;"&amp;$F105)</f>
        <v>1</v>
      </c>
    </row>
    <row r="106" spans="1:26">
      <c r="A106">
        <f t="shared" ca="1" si="41"/>
        <v>87</v>
      </c>
      <c r="B106">
        <f t="shared" ca="1" si="27"/>
        <v>1</v>
      </c>
      <c r="C106" s="43">
        <f t="shared" ca="1" si="28"/>
        <v>6.9444444444444447E-4</v>
      </c>
      <c r="D106">
        <f t="shared" ca="1" si="23"/>
        <v>3</v>
      </c>
      <c r="E106" s="43">
        <f t="shared" ca="1" si="29"/>
        <v>2.0833333333333333E-3</v>
      </c>
      <c r="F106" s="43">
        <f t="shared" ca="1" si="24"/>
        <v>0.500694444444444</v>
      </c>
      <c r="G106" s="43">
        <f t="shared" ca="1" si="43"/>
        <v>1.388888888889217E-3</v>
      </c>
      <c r="H106" t="str">
        <f t="shared" ca="1" si="25"/>
        <v/>
      </c>
      <c r="I106" s="43" t="str">
        <f t="shared" ca="1" si="26"/>
        <v/>
      </c>
      <c r="J106" s="43">
        <f ca="1">IF(ISTEXT($F106),"",MAX($P$19:P105,$F106))</f>
        <v>0.50208333333333321</v>
      </c>
      <c r="K106" s="43">
        <f ca="1">IF(ISTEXT($F106),"",MAX($R$19:R105,$F106))</f>
        <v>0.51041666666666652</v>
      </c>
      <c r="L106" s="43">
        <f t="shared" ca="1" si="44"/>
        <v>0.50763888888888853</v>
      </c>
      <c r="M106" s="43">
        <f t="shared" ca="1" si="45"/>
        <v>0.50208333333333321</v>
      </c>
      <c r="N106">
        <f t="shared" ca="1" si="42"/>
        <v>1</v>
      </c>
      <c r="O106" s="43">
        <f t="shared" ca="1" si="30"/>
        <v>0.50208333333333321</v>
      </c>
      <c r="P106" s="43">
        <f t="shared" ca="1" si="31"/>
        <v>0.50416666666666654</v>
      </c>
      <c r="Q106" s="43" t="str">
        <f t="shared" ca="1" si="32"/>
        <v/>
      </c>
      <c r="R106" s="43">
        <f t="shared" ca="1" si="33"/>
        <v>0.51041666666666652</v>
      </c>
      <c r="S106" s="43" t="str">
        <f t="shared" ca="1" si="34"/>
        <v/>
      </c>
      <c r="T106" s="43">
        <f t="shared" ca="1" si="35"/>
        <v>0.50763888888888853</v>
      </c>
      <c r="U106" s="43" t="str">
        <f t="shared" ca="1" si="36"/>
        <v/>
      </c>
      <c r="V106" s="43">
        <f t="shared" ca="1" si="37"/>
        <v>0.50208333333333321</v>
      </c>
      <c r="W106" s="43">
        <f t="shared" ca="1" si="38"/>
        <v>3.472222222222543E-3</v>
      </c>
      <c r="X106" s="43">
        <f t="shared" ca="1" si="39"/>
        <v>3.4722222222225503E-3</v>
      </c>
      <c r="Y106" s="43">
        <f t="shared" ca="1" si="40"/>
        <v>0.50416666666666654</v>
      </c>
      <c r="Z106">
        <f ca="1">COUNTIF($M$19:$M105,"&gt;"&amp;$F106)</f>
        <v>2</v>
      </c>
    </row>
    <row r="107" spans="1:26">
      <c r="A107">
        <f t="shared" ca="1" si="41"/>
        <v>88</v>
      </c>
      <c r="B107">
        <f t="shared" ca="1" si="27"/>
        <v>2</v>
      </c>
      <c r="C107" s="43">
        <f t="shared" ca="1" si="28"/>
        <v>1.3888888888888889E-3</v>
      </c>
      <c r="D107">
        <f t="shared" ca="1" si="23"/>
        <v>17</v>
      </c>
      <c r="E107" s="43">
        <f t="shared" ca="1" si="29"/>
        <v>1.1805555555555555E-2</v>
      </c>
      <c r="F107" s="43">
        <f t="shared" ca="1" si="24"/>
        <v>0.50208333333333288</v>
      </c>
      <c r="G107" s="43">
        <f t="shared" ca="1" si="43"/>
        <v>2.083333333333659E-3</v>
      </c>
      <c r="H107" t="str">
        <f t="shared" ca="1" si="25"/>
        <v/>
      </c>
      <c r="I107" s="43" t="str">
        <f t="shared" ca="1" si="26"/>
        <v/>
      </c>
      <c r="J107" s="43">
        <f ca="1">IF(ISTEXT($F107),"",MAX($P$19:P106,$F107))</f>
        <v>0.50416666666666654</v>
      </c>
      <c r="K107" s="43">
        <f ca="1">IF(ISTEXT($F107),"",MAX($R$19:R106,$F107))</f>
        <v>0.51041666666666652</v>
      </c>
      <c r="L107" s="43">
        <f t="shared" ca="1" si="44"/>
        <v>0.50763888888888853</v>
      </c>
      <c r="M107" s="43">
        <f t="shared" ca="1" si="45"/>
        <v>0.50416666666666654</v>
      </c>
      <c r="N107">
        <f t="shared" ca="1" si="42"/>
        <v>1</v>
      </c>
      <c r="O107" s="43">
        <f t="shared" ca="1" si="30"/>
        <v>0.50416666666666654</v>
      </c>
      <c r="P107" s="43">
        <f t="shared" ca="1" si="31"/>
        <v>0.51597222222222205</v>
      </c>
      <c r="Q107" s="43" t="str">
        <f t="shared" ca="1" si="32"/>
        <v/>
      </c>
      <c r="R107" s="43">
        <f t="shared" ca="1" si="33"/>
        <v>0.51041666666666652</v>
      </c>
      <c r="S107" s="43" t="str">
        <f t="shared" ca="1" si="34"/>
        <v/>
      </c>
      <c r="T107" s="43">
        <f t="shared" ca="1" si="35"/>
        <v>0.50763888888888853</v>
      </c>
      <c r="U107" s="43" t="str">
        <f t="shared" ca="1" si="36"/>
        <v/>
      </c>
      <c r="V107" s="43">
        <f t="shared" ca="1" si="37"/>
        <v>0.50416666666666654</v>
      </c>
      <c r="W107" s="43">
        <f t="shared" ca="1" si="38"/>
        <v>1.3888888888889173E-2</v>
      </c>
      <c r="X107" s="43">
        <f t="shared" ca="1" si="39"/>
        <v>1.3888888888889214E-2</v>
      </c>
      <c r="Y107" s="43">
        <f t="shared" ca="1" si="40"/>
        <v>0.51597222222222205</v>
      </c>
      <c r="Z107">
        <f ca="1">COUNTIF($M$19:$M106,"&gt;"&amp;$F107)</f>
        <v>0</v>
      </c>
    </row>
    <row r="108" spans="1:26">
      <c r="A108">
        <f t="shared" ca="1" si="41"/>
        <v>89</v>
      </c>
      <c r="B108">
        <f t="shared" ca="1" si="27"/>
        <v>3</v>
      </c>
      <c r="C108" s="43">
        <f t="shared" ca="1" si="28"/>
        <v>2.0833333333333333E-3</v>
      </c>
      <c r="D108">
        <f t="shared" ca="1" si="23"/>
        <v>17</v>
      </c>
      <c r="E108" s="43">
        <f t="shared" ca="1" si="29"/>
        <v>1.1805555555555555E-2</v>
      </c>
      <c r="F108" s="43">
        <f t="shared" ca="1" si="24"/>
        <v>0.50416666666666621</v>
      </c>
      <c r="G108" s="43">
        <f t="shared" ca="1" si="43"/>
        <v>3.4722222222223209E-3</v>
      </c>
      <c r="H108" t="str">
        <f t="shared" ca="1" si="25"/>
        <v>ушел</v>
      </c>
      <c r="I108" s="43">
        <f t="shared" ca="1" si="26"/>
        <v>0.50694444444444398</v>
      </c>
      <c r="J108" s="43">
        <f ca="1">IF(ISTEXT($F108),"",MAX($P$19:P107,$F108))</f>
        <v>0.51597222222222205</v>
      </c>
      <c r="K108" s="43">
        <f ca="1">IF(ISTEXT($F108),"",MAX($R$19:R107,$F108))</f>
        <v>0.51041666666666652</v>
      </c>
      <c r="L108" s="43">
        <f t="shared" ca="1" si="44"/>
        <v>0.50763888888888853</v>
      </c>
      <c r="M108" s="43">
        <f t="shared" ca="1" si="45"/>
        <v>0.50763888888888853</v>
      </c>
      <c r="N108" t="str">
        <f t="shared" ca="1" si="42"/>
        <v/>
      </c>
      <c r="O108" s="43" t="str">
        <f t="shared" ca="1" si="30"/>
        <v/>
      </c>
      <c r="P108" s="43">
        <f t="shared" ca="1" si="31"/>
        <v>0.51597222222222205</v>
      </c>
      <c r="Q108" s="43" t="str">
        <f t="shared" ca="1" si="32"/>
        <v/>
      </c>
      <c r="R108" s="43">
        <f t="shared" ca="1" si="33"/>
        <v>0.51041666666666652</v>
      </c>
      <c r="S108" s="43" t="str">
        <f t="shared" ca="1" si="34"/>
        <v/>
      </c>
      <c r="T108" s="43">
        <f t="shared" ca="1" si="35"/>
        <v>0.50763888888888853</v>
      </c>
      <c r="U108" s="43">
        <f t="shared" ca="1" si="36"/>
        <v>2.7777777777777679E-3</v>
      </c>
      <c r="V108" s="43" t="str">
        <f t="shared" ca="1" si="37"/>
        <v/>
      </c>
      <c r="W108" s="43">
        <f t="shared" ca="1" si="38"/>
        <v>2.7777777777777679E-3</v>
      </c>
      <c r="X108" s="43">
        <f t="shared" ca="1" si="39"/>
        <v>2.7777777777777679E-3</v>
      </c>
      <c r="Y108" s="43">
        <f t="shared" ca="1" si="40"/>
        <v>0.50694444444444398</v>
      </c>
      <c r="Z108">
        <f ca="1">COUNTIF($M$19:$M107,"&gt;"&amp;$F108)</f>
        <v>1</v>
      </c>
    </row>
    <row r="109" spans="1:26">
      <c r="A109">
        <f t="shared" ca="1" si="41"/>
        <v>90</v>
      </c>
      <c r="B109">
        <f t="shared" ca="1" si="27"/>
        <v>2</v>
      </c>
      <c r="C109" s="43">
        <f t="shared" ca="1" si="28"/>
        <v>1.3888888888888889E-3</v>
      </c>
      <c r="D109">
        <f t="shared" ca="1" si="23"/>
        <v>7</v>
      </c>
      <c r="E109" s="43">
        <f t="shared" ca="1" si="29"/>
        <v>4.8611111111111112E-3</v>
      </c>
      <c r="F109" s="43">
        <f t="shared" ca="1" si="24"/>
        <v>0.50555555555555509</v>
      </c>
      <c r="G109" s="43">
        <f t="shared" ca="1" si="43"/>
        <v>2.083333333333437E-3</v>
      </c>
      <c r="H109" t="str">
        <f t="shared" ca="1" si="25"/>
        <v/>
      </c>
      <c r="I109" s="43" t="str">
        <f t="shared" ca="1" si="26"/>
        <v/>
      </c>
      <c r="J109" s="43">
        <f ca="1">IF(ISTEXT($F109),"",MAX($P$19:P108,$F109))</f>
        <v>0.51597222222222205</v>
      </c>
      <c r="K109" s="43">
        <f ca="1">IF(ISTEXT($F109),"",MAX($R$19:R108,$F109))</f>
        <v>0.51041666666666652</v>
      </c>
      <c r="L109" s="43">
        <f t="shared" ca="1" si="44"/>
        <v>0.50763888888888853</v>
      </c>
      <c r="M109" s="43">
        <f t="shared" ca="1" si="45"/>
        <v>0.50763888888888853</v>
      </c>
      <c r="N109">
        <f t="shared" ca="1" si="42"/>
        <v>3</v>
      </c>
      <c r="O109" s="43" t="str">
        <f t="shared" ca="1" si="30"/>
        <v/>
      </c>
      <c r="P109" s="43">
        <f t="shared" ca="1" si="31"/>
        <v>0.51597222222222205</v>
      </c>
      <c r="Q109" s="43" t="str">
        <f t="shared" ca="1" si="32"/>
        <v/>
      </c>
      <c r="R109" s="43">
        <f t="shared" ca="1" si="33"/>
        <v>0.51041666666666652</v>
      </c>
      <c r="S109" s="43">
        <f t="shared" ca="1" si="34"/>
        <v>0.50763888888888853</v>
      </c>
      <c r="T109" s="43">
        <f t="shared" ca="1" si="35"/>
        <v>0.51249999999999962</v>
      </c>
      <c r="U109" s="43" t="str">
        <f t="shared" ca="1" si="36"/>
        <v/>
      </c>
      <c r="V109" s="43">
        <f t="shared" ca="1" si="37"/>
        <v>0.50763888888888853</v>
      </c>
      <c r="W109" s="43">
        <f t="shared" ca="1" si="38"/>
        <v>6.9444444444445308E-3</v>
      </c>
      <c r="X109" s="43">
        <f t="shared" ca="1" si="39"/>
        <v>6.9444444444445481E-3</v>
      </c>
      <c r="Y109" s="43">
        <f t="shared" ca="1" si="40"/>
        <v>0.51249999999999962</v>
      </c>
      <c r="Z109">
        <f ca="1">COUNTIF($M$19:$M108,"&gt;"&amp;$F109)</f>
        <v>1</v>
      </c>
    </row>
    <row r="110" spans="1:26">
      <c r="A110">
        <f t="shared" ca="1" si="41"/>
        <v>91</v>
      </c>
      <c r="B110">
        <f t="shared" ca="1" si="27"/>
        <v>3</v>
      </c>
      <c r="C110" s="43">
        <f t="shared" ca="1" si="28"/>
        <v>2.0833333333333333E-3</v>
      </c>
      <c r="D110">
        <f t="shared" ca="1" si="23"/>
        <v>9</v>
      </c>
      <c r="E110" s="43">
        <f t="shared" ca="1" si="29"/>
        <v>6.2500000000000003E-3</v>
      </c>
      <c r="F110" s="43">
        <f t="shared" ca="1" si="24"/>
        <v>0.50763888888888842</v>
      </c>
      <c r="G110" s="43">
        <f t="shared" ca="1" si="43"/>
        <v>2.777777777778101E-3</v>
      </c>
      <c r="H110" t="str">
        <f t="shared" ca="1" si="25"/>
        <v>ушел</v>
      </c>
      <c r="I110" s="43">
        <f t="shared" ca="1" si="26"/>
        <v>0.51041666666666619</v>
      </c>
      <c r="J110" s="43">
        <f ca="1">IF(ISTEXT($F110),"",MAX($P$19:P109,$F110))</f>
        <v>0.51597222222222205</v>
      </c>
      <c r="K110" s="43">
        <f ca="1">IF(ISTEXT($F110),"",MAX($R$19:R109,$F110))</f>
        <v>0.51041666666666652</v>
      </c>
      <c r="L110" s="43">
        <f t="shared" ca="1" si="44"/>
        <v>0.51249999999999962</v>
      </c>
      <c r="M110" s="43">
        <f t="shared" ca="1" si="45"/>
        <v>0.51041666666666652</v>
      </c>
      <c r="N110" t="str">
        <f t="shared" ca="1" si="42"/>
        <v/>
      </c>
      <c r="O110" s="43" t="str">
        <f t="shared" ca="1" si="30"/>
        <v/>
      </c>
      <c r="P110" s="43">
        <f t="shared" ca="1" si="31"/>
        <v>0.51597222222222205</v>
      </c>
      <c r="Q110" s="43" t="str">
        <f t="shared" ca="1" si="32"/>
        <v/>
      </c>
      <c r="R110" s="43">
        <f t="shared" ca="1" si="33"/>
        <v>0.51041666666666652</v>
      </c>
      <c r="S110" s="43" t="str">
        <f t="shared" ca="1" si="34"/>
        <v/>
      </c>
      <c r="T110" s="43">
        <f t="shared" ca="1" si="35"/>
        <v>0.51249999999999962</v>
      </c>
      <c r="U110" s="43">
        <f t="shared" ca="1" si="36"/>
        <v>2.7777777777777679E-3</v>
      </c>
      <c r="V110" s="43" t="str">
        <f t="shared" ca="1" si="37"/>
        <v/>
      </c>
      <c r="W110" s="43">
        <f t="shared" ca="1" si="38"/>
        <v>2.7777777777777679E-3</v>
      </c>
      <c r="X110" s="43">
        <f t="shared" ca="1" si="39"/>
        <v>2.7777777777777679E-3</v>
      </c>
      <c r="Y110" s="43">
        <f t="shared" ca="1" si="40"/>
        <v>0.51041666666666619</v>
      </c>
      <c r="Z110">
        <f ca="1">COUNTIF($M$19:$M109,"&gt;"&amp;$F110)</f>
        <v>2</v>
      </c>
    </row>
    <row r="111" spans="1:26">
      <c r="A111">
        <f t="shared" ca="1" si="41"/>
        <v>92</v>
      </c>
      <c r="B111">
        <f t="shared" ca="1" si="27"/>
        <v>2</v>
      </c>
      <c r="C111" s="43">
        <f t="shared" ca="1" si="28"/>
        <v>1.3888888888888889E-3</v>
      </c>
      <c r="D111">
        <f t="shared" ca="1" si="23"/>
        <v>9</v>
      </c>
      <c r="E111" s="43">
        <f t="shared" ca="1" si="29"/>
        <v>6.2500000000000003E-3</v>
      </c>
      <c r="F111" s="43">
        <f t="shared" ca="1" si="24"/>
        <v>0.5090277777777773</v>
      </c>
      <c r="G111" s="43">
        <f t="shared" ca="1" si="43"/>
        <v>1.388888888889217E-3</v>
      </c>
      <c r="H111" t="str">
        <f t="shared" ca="1" si="25"/>
        <v/>
      </c>
      <c r="I111" s="43" t="str">
        <f t="shared" ca="1" si="26"/>
        <v/>
      </c>
      <c r="J111" s="43">
        <f ca="1">IF(ISTEXT($F111),"",MAX($P$19:P110,$F111))</f>
        <v>0.51597222222222205</v>
      </c>
      <c r="K111" s="43">
        <f ca="1">IF(ISTEXT($F111),"",MAX($R$19:R110,$F111))</f>
        <v>0.51041666666666652</v>
      </c>
      <c r="L111" s="43">
        <f t="shared" ca="1" si="44"/>
        <v>0.51249999999999962</v>
      </c>
      <c r="M111" s="43">
        <f t="shared" ca="1" si="45"/>
        <v>0.51041666666666652</v>
      </c>
      <c r="N111">
        <f t="shared" ca="1" si="42"/>
        <v>2</v>
      </c>
      <c r="O111" s="43" t="str">
        <f t="shared" ca="1" si="30"/>
        <v/>
      </c>
      <c r="P111" s="43">
        <f t="shared" ca="1" si="31"/>
        <v>0.51597222222222205</v>
      </c>
      <c r="Q111" s="43">
        <f t="shared" ca="1" si="32"/>
        <v>0.51041666666666652</v>
      </c>
      <c r="R111" s="43">
        <f t="shared" ca="1" si="33"/>
        <v>0.5166666666666665</v>
      </c>
      <c r="S111" s="43" t="str">
        <f t="shared" ca="1" si="34"/>
        <v/>
      </c>
      <c r="T111" s="43">
        <f t="shared" ca="1" si="35"/>
        <v>0.51249999999999962</v>
      </c>
      <c r="U111" s="43" t="str">
        <f t="shared" ca="1" si="36"/>
        <v/>
      </c>
      <c r="V111" s="43">
        <f t="shared" ca="1" si="37"/>
        <v>0.51041666666666652</v>
      </c>
      <c r="W111" s="43">
        <f t="shared" ca="1" si="38"/>
        <v>7.6388888888891948E-3</v>
      </c>
      <c r="X111" s="43">
        <f t="shared" ca="1" si="39"/>
        <v>7.6388888888892174E-3</v>
      </c>
      <c r="Y111" s="43">
        <f t="shared" ca="1" si="40"/>
        <v>0.5166666666666665</v>
      </c>
      <c r="Z111">
        <f ca="1">COUNTIF($M$19:$M110,"&gt;"&amp;$F111)</f>
        <v>1</v>
      </c>
    </row>
    <row r="112" spans="1:26">
      <c r="A112">
        <f t="shared" ca="1" si="41"/>
        <v>93</v>
      </c>
      <c r="B112">
        <f t="shared" ca="1" si="27"/>
        <v>2</v>
      </c>
      <c r="C112" s="43">
        <f t="shared" ca="1" si="28"/>
        <v>1.3888888888888889E-3</v>
      </c>
      <c r="D112">
        <f t="shared" ca="1" si="23"/>
        <v>9</v>
      </c>
      <c r="E112" s="43">
        <f t="shared" ca="1" si="29"/>
        <v>6.2500000000000003E-3</v>
      </c>
      <c r="F112" s="43">
        <f t="shared" ca="1" si="24"/>
        <v>0.51041666666666619</v>
      </c>
      <c r="G112" s="43">
        <f t="shared" ca="1" si="43"/>
        <v>2.083333333333437E-3</v>
      </c>
      <c r="H112" t="str">
        <f t="shared" ca="1" si="25"/>
        <v/>
      </c>
      <c r="I112" s="43" t="str">
        <f t="shared" ca="1" si="26"/>
        <v/>
      </c>
      <c r="J112" s="43">
        <f ca="1">IF(ISTEXT($F112),"",MAX($P$19:P111,$F112))</f>
        <v>0.51597222222222205</v>
      </c>
      <c r="K112" s="43">
        <f ca="1">IF(ISTEXT($F112),"",MAX($R$19:R111,$F112))</f>
        <v>0.5166666666666665</v>
      </c>
      <c r="L112" s="43">
        <f t="shared" ca="1" si="44"/>
        <v>0.51249999999999962</v>
      </c>
      <c r="M112" s="43">
        <f t="shared" ca="1" si="45"/>
        <v>0.51249999999999962</v>
      </c>
      <c r="N112">
        <f t="shared" ca="1" si="42"/>
        <v>3</v>
      </c>
      <c r="O112" s="43" t="str">
        <f t="shared" ca="1" si="30"/>
        <v/>
      </c>
      <c r="P112" s="43">
        <f t="shared" ca="1" si="31"/>
        <v>0.51597222222222205</v>
      </c>
      <c r="Q112" s="43" t="str">
        <f t="shared" ca="1" si="32"/>
        <v/>
      </c>
      <c r="R112" s="43">
        <f t="shared" ca="1" si="33"/>
        <v>0.5166666666666665</v>
      </c>
      <c r="S112" s="43">
        <f t="shared" ca="1" si="34"/>
        <v>0.51249999999999962</v>
      </c>
      <c r="T112" s="43">
        <f t="shared" ca="1" si="35"/>
        <v>0.5187499999999996</v>
      </c>
      <c r="U112" s="43" t="str">
        <f t="shared" ca="1" si="36"/>
        <v/>
      </c>
      <c r="V112" s="43">
        <f t="shared" ca="1" si="37"/>
        <v>0.51249999999999962</v>
      </c>
      <c r="W112" s="43">
        <f t="shared" ca="1" si="38"/>
        <v>8.3333333333334147E-3</v>
      </c>
      <c r="X112" s="43">
        <f t="shared" ca="1" si="39"/>
        <v>8.3333333333334373E-3</v>
      </c>
      <c r="Y112" s="43">
        <f t="shared" ca="1" si="40"/>
        <v>0.5187499999999996</v>
      </c>
      <c r="Z112">
        <f ca="1">COUNTIF($M$19:$M111,"&gt;"&amp;$F112)</f>
        <v>2</v>
      </c>
    </row>
    <row r="113" spans="1:26">
      <c r="A113">
        <f t="shared" ca="1" si="41"/>
        <v>94</v>
      </c>
      <c r="B113">
        <f t="shared" ca="1" si="27"/>
        <v>2</v>
      </c>
      <c r="C113" s="43">
        <f t="shared" ca="1" si="28"/>
        <v>1.3888888888888889E-3</v>
      </c>
      <c r="D113">
        <f t="shared" ca="1" si="23"/>
        <v>17</v>
      </c>
      <c r="E113" s="43">
        <f t="shared" ca="1" si="29"/>
        <v>1.1805555555555555E-2</v>
      </c>
      <c r="F113" s="43">
        <f t="shared" ca="1" si="24"/>
        <v>0.51180555555555507</v>
      </c>
      <c r="G113" s="43">
        <f t="shared" ca="1" si="43"/>
        <v>4.1666666666669849E-3</v>
      </c>
      <c r="H113" t="str">
        <f t="shared" ca="1" si="25"/>
        <v>ушел</v>
      </c>
      <c r="I113" s="43">
        <f t="shared" ca="1" si="26"/>
        <v>0.51458333333333284</v>
      </c>
      <c r="J113" s="43">
        <f ca="1">IF(ISTEXT($F113),"",MAX($P$19:P112,$F113))</f>
        <v>0.51597222222222205</v>
      </c>
      <c r="K113" s="43">
        <f ca="1">IF(ISTEXT($F113),"",MAX($R$19:R112,$F113))</f>
        <v>0.5166666666666665</v>
      </c>
      <c r="L113" s="43">
        <f t="shared" ca="1" si="44"/>
        <v>0.5187499999999996</v>
      </c>
      <c r="M113" s="43">
        <f t="shared" ca="1" si="45"/>
        <v>0.51597222222222205</v>
      </c>
      <c r="N113" t="str">
        <f t="shared" ca="1" si="42"/>
        <v/>
      </c>
      <c r="O113" s="43" t="str">
        <f t="shared" ca="1" si="30"/>
        <v/>
      </c>
      <c r="P113" s="43">
        <f t="shared" ca="1" si="31"/>
        <v>0.51597222222222205</v>
      </c>
      <c r="Q113" s="43" t="str">
        <f t="shared" ca="1" si="32"/>
        <v/>
      </c>
      <c r="R113" s="43">
        <f t="shared" ca="1" si="33"/>
        <v>0.5166666666666665</v>
      </c>
      <c r="S113" s="43" t="str">
        <f t="shared" ca="1" si="34"/>
        <v/>
      </c>
      <c r="T113" s="43">
        <f t="shared" ca="1" si="35"/>
        <v>0.5187499999999996</v>
      </c>
      <c r="U113" s="43">
        <f t="shared" ca="1" si="36"/>
        <v>2.7777777777777679E-3</v>
      </c>
      <c r="V113" s="43" t="str">
        <f t="shared" ca="1" si="37"/>
        <v/>
      </c>
      <c r="W113" s="43">
        <f t="shared" ca="1" si="38"/>
        <v>2.7777777777777679E-3</v>
      </c>
      <c r="X113" s="43">
        <f t="shared" ca="1" si="39"/>
        <v>2.7777777777777679E-3</v>
      </c>
      <c r="Y113" s="43">
        <f t="shared" ca="1" si="40"/>
        <v>0.51458333333333284</v>
      </c>
      <c r="Z113">
        <f ca="1">COUNTIF($M$19:$M112,"&gt;"&amp;$F113)</f>
        <v>1</v>
      </c>
    </row>
    <row r="114" spans="1:26">
      <c r="A114">
        <f t="shared" ca="1" si="41"/>
        <v>95</v>
      </c>
      <c r="B114">
        <f t="shared" ca="1" si="27"/>
        <v>2</v>
      </c>
      <c r="C114" s="43">
        <f t="shared" ca="1" si="28"/>
        <v>1.3888888888888889E-3</v>
      </c>
      <c r="D114">
        <f t="shared" ca="1" si="23"/>
        <v>17</v>
      </c>
      <c r="E114" s="43">
        <f t="shared" ca="1" si="29"/>
        <v>1.1805555555555555E-2</v>
      </c>
      <c r="F114" s="43">
        <f t="shared" ca="1" si="24"/>
        <v>0.51319444444444395</v>
      </c>
      <c r="G114" s="43">
        <f t="shared" ca="1" si="43"/>
        <v>2.777777777778101E-3</v>
      </c>
      <c r="H114" t="str">
        <f t="shared" ca="1" si="25"/>
        <v>ушел</v>
      </c>
      <c r="I114" s="43">
        <f t="shared" ca="1" si="26"/>
        <v>0.51597222222222172</v>
      </c>
      <c r="J114" s="43">
        <f ca="1">IF(ISTEXT($F114),"",MAX($P$19:P113,$F114))</f>
        <v>0.51597222222222205</v>
      </c>
      <c r="K114" s="43">
        <f ca="1">IF(ISTEXT($F114),"",MAX($R$19:R113,$F114))</f>
        <v>0.5166666666666665</v>
      </c>
      <c r="L114" s="43">
        <f t="shared" ca="1" si="44"/>
        <v>0.5187499999999996</v>
      </c>
      <c r="M114" s="43">
        <f t="shared" ca="1" si="45"/>
        <v>0.51597222222222205</v>
      </c>
      <c r="N114" t="str">
        <f t="shared" ca="1" si="42"/>
        <v/>
      </c>
      <c r="O114" s="43" t="str">
        <f t="shared" ca="1" si="30"/>
        <v/>
      </c>
      <c r="P114" s="43">
        <f t="shared" ca="1" si="31"/>
        <v>0.51597222222222205</v>
      </c>
      <c r="Q114" s="43" t="str">
        <f t="shared" ca="1" si="32"/>
        <v/>
      </c>
      <c r="R114" s="43">
        <f t="shared" ca="1" si="33"/>
        <v>0.5166666666666665</v>
      </c>
      <c r="S114" s="43" t="str">
        <f t="shared" ca="1" si="34"/>
        <v/>
      </c>
      <c r="T114" s="43">
        <f t="shared" ca="1" si="35"/>
        <v>0.5187499999999996</v>
      </c>
      <c r="U114" s="43">
        <f t="shared" ca="1" si="36"/>
        <v>2.7777777777777679E-3</v>
      </c>
      <c r="V114" s="43" t="str">
        <f t="shared" ca="1" si="37"/>
        <v/>
      </c>
      <c r="W114" s="43">
        <f t="shared" ca="1" si="38"/>
        <v>2.7777777777777679E-3</v>
      </c>
      <c r="X114" s="43">
        <f t="shared" ca="1" si="39"/>
        <v>2.7777777777777679E-3</v>
      </c>
      <c r="Y114" s="43">
        <f t="shared" ca="1" si="40"/>
        <v>0.51597222222222172</v>
      </c>
      <c r="Z114">
        <f ca="1">COUNTIF($M$19:$M113,"&gt;"&amp;$F114)</f>
        <v>1</v>
      </c>
    </row>
    <row r="115" spans="1:26">
      <c r="A115">
        <f t="shared" ca="1" si="41"/>
        <v>96</v>
      </c>
      <c r="B115">
        <f t="shared" ca="1" si="27"/>
        <v>2</v>
      </c>
      <c r="C115" s="43">
        <f t="shared" ca="1" si="28"/>
        <v>1.3888888888888889E-3</v>
      </c>
      <c r="D115">
        <f t="shared" ca="1" si="23"/>
        <v>3</v>
      </c>
      <c r="E115" s="43">
        <f t="shared" ca="1" si="29"/>
        <v>2.0833333333333333E-3</v>
      </c>
      <c r="F115" s="43">
        <f t="shared" ca="1" si="24"/>
        <v>0.51458333333333284</v>
      </c>
      <c r="G115" s="43">
        <f t="shared" ca="1" si="43"/>
        <v>1.388888888889217E-3</v>
      </c>
      <c r="H115" t="str">
        <f t="shared" ca="1" si="25"/>
        <v/>
      </c>
      <c r="I115" s="43" t="str">
        <f t="shared" ca="1" si="26"/>
        <v/>
      </c>
      <c r="J115" s="43">
        <f ca="1">IF(ISTEXT($F115),"",MAX($P$19:P114,$F115))</f>
        <v>0.51597222222222205</v>
      </c>
      <c r="K115" s="43">
        <f ca="1">IF(ISTEXT($F115),"",MAX($R$19:R114,$F115))</f>
        <v>0.5166666666666665</v>
      </c>
      <c r="L115" s="43">
        <f t="shared" ca="1" si="44"/>
        <v>0.5187499999999996</v>
      </c>
      <c r="M115" s="43">
        <f t="shared" ca="1" si="45"/>
        <v>0.51597222222222205</v>
      </c>
      <c r="N115">
        <f t="shared" ca="1" si="42"/>
        <v>1</v>
      </c>
      <c r="O115" s="43">
        <f t="shared" ca="1" si="30"/>
        <v>0.51597222222222205</v>
      </c>
      <c r="P115" s="43">
        <f t="shared" ca="1" si="31"/>
        <v>0.51805555555555538</v>
      </c>
      <c r="Q115" s="43" t="str">
        <f t="shared" ca="1" si="32"/>
        <v/>
      </c>
      <c r="R115" s="43">
        <f t="shared" ca="1" si="33"/>
        <v>0.5166666666666665</v>
      </c>
      <c r="S115" s="43" t="str">
        <f t="shared" ca="1" si="34"/>
        <v/>
      </c>
      <c r="T115" s="43">
        <f t="shared" ca="1" si="35"/>
        <v>0.5187499999999996</v>
      </c>
      <c r="U115" s="43" t="str">
        <f t="shared" ca="1" si="36"/>
        <v/>
      </c>
      <c r="V115" s="43">
        <f t="shared" ca="1" si="37"/>
        <v>0.51597222222222205</v>
      </c>
      <c r="W115" s="43">
        <f t="shared" ca="1" si="38"/>
        <v>3.472222222222543E-3</v>
      </c>
      <c r="X115" s="43">
        <f t="shared" ca="1" si="39"/>
        <v>3.4722222222225503E-3</v>
      </c>
      <c r="Y115" s="43">
        <f t="shared" ca="1" si="40"/>
        <v>0.51805555555555538</v>
      </c>
      <c r="Z115">
        <f ca="1">COUNTIF($M$19:$M114,"&gt;"&amp;$F115)</f>
        <v>2</v>
      </c>
    </row>
    <row r="116" spans="1:26">
      <c r="A116">
        <f t="shared" ca="1" si="41"/>
        <v>97</v>
      </c>
      <c r="B116">
        <f t="shared" ca="1" si="27"/>
        <v>3</v>
      </c>
      <c r="C116" s="43">
        <f t="shared" ca="1" si="28"/>
        <v>2.0833333333333333E-3</v>
      </c>
      <c r="D116">
        <f t="shared" ref="D116:D119" ca="1" si="46">VLOOKUP(RAND(),SRVT,3)</f>
        <v>7</v>
      </c>
      <c r="E116" s="43">
        <f t="shared" ca="1" si="29"/>
        <v>4.8611111111111112E-3</v>
      </c>
      <c r="F116" s="43">
        <f t="shared" ref="F116:F119" ca="1" si="47">IF(ISTEXT(F115),"",IF(F115+ C116&gt;=closed,"закрыто",F115+C116))</f>
        <v>0.51666666666666616</v>
      </c>
      <c r="G116" s="43">
        <f t="shared" ca="1" si="43"/>
        <v>3.3306690738754696E-16</v>
      </c>
      <c r="H116" t="str">
        <f t="shared" ref="H116:H119" ca="1" si="48">IF(G116&gt;(renegat/1440),"ушел","")</f>
        <v/>
      </c>
      <c r="I116" s="43" t="str">
        <f t="shared" ref="I116:I119" ca="1" si="49">IF(H116="ушел",F116+(renegat/1440),"")</f>
        <v/>
      </c>
      <c r="J116" s="43">
        <f ca="1">IF(ISTEXT($F116),"",MAX($P$19:P115,$F116))</f>
        <v>0.51805555555555538</v>
      </c>
      <c r="K116" s="43">
        <f ca="1">IF(ISTEXT($F116),"",MAX($R$19:R115,$F116))</f>
        <v>0.5166666666666665</v>
      </c>
      <c r="L116" s="43">
        <f t="shared" ca="1" si="44"/>
        <v>0.5187499999999996</v>
      </c>
      <c r="M116" s="43">
        <f t="shared" ca="1" si="45"/>
        <v>0.5166666666666665</v>
      </c>
      <c r="N116">
        <f t="shared" ca="1" si="42"/>
        <v>2</v>
      </c>
      <c r="O116" s="43" t="str">
        <f t="shared" ca="1" si="30"/>
        <v/>
      </c>
      <c r="P116" s="43">
        <f t="shared" ca="1" si="31"/>
        <v>0.51805555555555538</v>
      </c>
      <c r="Q116" s="43">
        <f t="shared" ca="1" si="32"/>
        <v>0.5166666666666665</v>
      </c>
      <c r="R116" s="43">
        <f t="shared" ca="1" si="33"/>
        <v>0.52152777777777759</v>
      </c>
      <c r="S116" s="43" t="str">
        <f t="shared" ca="1" si="34"/>
        <v/>
      </c>
      <c r="T116" s="43">
        <f t="shared" ca="1" si="35"/>
        <v>0.5187499999999996</v>
      </c>
      <c r="U116" s="43" t="str">
        <f t="shared" ca="1" si="36"/>
        <v/>
      </c>
      <c r="V116" s="43">
        <f t="shared" ca="1" si="37"/>
        <v>0.5166666666666665</v>
      </c>
      <c r="W116" s="43">
        <f t="shared" ca="1" si="38"/>
        <v>4.8611111111114269E-3</v>
      </c>
      <c r="X116" s="43">
        <f t="shared" ca="1" si="39"/>
        <v>4.8611111111114443E-3</v>
      </c>
      <c r="Y116" s="43">
        <f t="shared" ca="1" si="40"/>
        <v>0.52152777777777759</v>
      </c>
      <c r="Z116">
        <f ca="1">COUNTIF($M$19:$M115,"&gt;"&amp;$F116)</f>
        <v>0</v>
      </c>
    </row>
    <row r="117" spans="1:26">
      <c r="A117">
        <f t="shared" ca="1" si="41"/>
        <v>98</v>
      </c>
      <c r="B117">
        <f t="shared" ca="1" si="27"/>
        <v>2</v>
      </c>
      <c r="C117" s="43">
        <f t="shared" ca="1" si="28"/>
        <v>1.3888888888888889E-3</v>
      </c>
      <c r="D117">
        <f t="shared" ca="1" si="46"/>
        <v>9</v>
      </c>
      <c r="E117" s="43">
        <f t="shared" ca="1" si="29"/>
        <v>6.2500000000000003E-3</v>
      </c>
      <c r="F117" s="43">
        <f t="shared" ca="1" si="47"/>
        <v>0.51805555555555505</v>
      </c>
      <c r="G117" s="43">
        <f t="shared" ca="1" si="43"/>
        <v>3.3306690738754696E-16</v>
      </c>
      <c r="H117" t="str">
        <f t="shared" ca="1" si="48"/>
        <v/>
      </c>
      <c r="I117" s="43" t="str">
        <f t="shared" ca="1" si="49"/>
        <v/>
      </c>
      <c r="J117" s="43">
        <f ca="1">IF(ISTEXT($F117),"",MAX($P$19:P116,$F117))</f>
        <v>0.51805555555555538</v>
      </c>
      <c r="K117" s="43">
        <f ca="1">IF(ISTEXT($F117),"",MAX($R$19:R116,$F117))</f>
        <v>0.52152777777777759</v>
      </c>
      <c r="L117" s="43">
        <f t="shared" ca="1" si="44"/>
        <v>0.5187499999999996</v>
      </c>
      <c r="M117" s="43">
        <f t="shared" ca="1" si="45"/>
        <v>0.51805555555555538</v>
      </c>
      <c r="N117">
        <f t="shared" ca="1" si="42"/>
        <v>1</v>
      </c>
      <c r="O117" s="43">
        <f t="shared" ca="1" si="30"/>
        <v>0.51805555555555538</v>
      </c>
      <c r="P117" s="43">
        <f t="shared" ca="1" si="31"/>
        <v>0.52430555555555536</v>
      </c>
      <c r="Q117" s="43" t="str">
        <f t="shared" ca="1" si="32"/>
        <v/>
      </c>
      <c r="R117" s="43">
        <f t="shared" ca="1" si="33"/>
        <v>0.52152777777777759</v>
      </c>
      <c r="S117" s="43" t="str">
        <f t="shared" ca="1" si="34"/>
        <v/>
      </c>
      <c r="T117" s="43">
        <f t="shared" ca="1" si="35"/>
        <v>0.5187499999999996</v>
      </c>
      <c r="U117" s="43" t="str">
        <f t="shared" ca="1" si="36"/>
        <v/>
      </c>
      <c r="V117" s="43">
        <f t="shared" ca="1" si="37"/>
        <v>0.51805555555555538</v>
      </c>
      <c r="W117" s="43">
        <f t="shared" ca="1" si="38"/>
        <v>6.2500000000003109E-3</v>
      </c>
      <c r="X117" s="43">
        <f t="shared" ca="1" si="39"/>
        <v>6.2500000000003334E-3</v>
      </c>
      <c r="Y117" s="43">
        <f t="shared" ca="1" si="40"/>
        <v>0.52430555555555536</v>
      </c>
      <c r="Z117">
        <f ca="1">COUNTIF($M$19:$M116,"&gt;"&amp;$F117)</f>
        <v>0</v>
      </c>
    </row>
    <row r="118" spans="1:26">
      <c r="A118">
        <f t="shared" ca="1" si="41"/>
        <v>99</v>
      </c>
      <c r="B118">
        <f t="shared" ca="1" si="27"/>
        <v>1</v>
      </c>
      <c r="C118" s="43">
        <f t="shared" ca="1" si="28"/>
        <v>6.9444444444444447E-4</v>
      </c>
      <c r="D118">
        <f t="shared" ca="1" si="46"/>
        <v>7</v>
      </c>
      <c r="E118" s="43">
        <f t="shared" ca="1" si="29"/>
        <v>4.8611111111111112E-3</v>
      </c>
      <c r="F118" s="43">
        <f t="shared" ca="1" si="47"/>
        <v>0.51874999999999949</v>
      </c>
      <c r="G118" s="43">
        <f t="shared" ca="1" si="43"/>
        <v>1.1102230246251565E-16</v>
      </c>
      <c r="H118" t="str">
        <f t="shared" ca="1" si="48"/>
        <v/>
      </c>
      <c r="I118" s="43" t="str">
        <f t="shared" ca="1" si="49"/>
        <v/>
      </c>
      <c r="J118" s="43">
        <f ca="1">IF(ISTEXT($F118),"",MAX($P$19:P117,$F118))</f>
        <v>0.52430555555555536</v>
      </c>
      <c r="K118" s="43">
        <f ca="1">IF(ISTEXT($F118),"",MAX($R$19:R117,$F118))</f>
        <v>0.52152777777777759</v>
      </c>
      <c r="L118" s="43">
        <f t="shared" ca="1" si="44"/>
        <v>0.5187499999999996</v>
      </c>
      <c r="M118" s="43">
        <f t="shared" ca="1" si="45"/>
        <v>0.5187499999999996</v>
      </c>
      <c r="N118">
        <f t="shared" ca="1" si="42"/>
        <v>3</v>
      </c>
      <c r="O118" s="43" t="str">
        <f t="shared" ca="1" si="30"/>
        <v/>
      </c>
      <c r="P118" s="43">
        <f t="shared" ca="1" si="31"/>
        <v>0.52430555555555536</v>
      </c>
      <c r="Q118" s="43" t="str">
        <f t="shared" ca="1" si="32"/>
        <v/>
      </c>
      <c r="R118" s="43">
        <f t="shared" ca="1" si="33"/>
        <v>0.52152777777777759</v>
      </c>
      <c r="S118" s="43">
        <f t="shared" ca="1" si="34"/>
        <v>0.5187499999999996</v>
      </c>
      <c r="T118" s="43">
        <f t="shared" ca="1" si="35"/>
        <v>0.52361111111111069</v>
      </c>
      <c r="U118" s="43" t="str">
        <f t="shared" ca="1" si="36"/>
        <v/>
      </c>
      <c r="V118" s="43">
        <f t="shared" ca="1" si="37"/>
        <v>0.5187499999999996</v>
      </c>
      <c r="W118" s="43">
        <f t="shared" ca="1" si="38"/>
        <v>4.8611111111112049E-3</v>
      </c>
      <c r="X118" s="43">
        <f t="shared" ca="1" si="39"/>
        <v>4.8611111111112222E-3</v>
      </c>
      <c r="Y118" s="43">
        <f t="shared" ca="1" si="40"/>
        <v>0.52361111111111069</v>
      </c>
      <c r="Z118">
        <f ca="1">COUNTIF($M$19:$M117,"&gt;"&amp;$F118)</f>
        <v>0</v>
      </c>
    </row>
    <row r="119" spans="1:26">
      <c r="A119">
        <f t="shared" ca="1" si="41"/>
        <v>100</v>
      </c>
      <c r="B119">
        <f t="shared" ca="1" si="27"/>
        <v>2</v>
      </c>
      <c r="C119" s="43">
        <f t="shared" ca="1" si="28"/>
        <v>1.3888888888888889E-3</v>
      </c>
      <c r="D119">
        <f t="shared" ca="1" si="46"/>
        <v>7</v>
      </c>
      <c r="E119" s="43">
        <f t="shared" ca="1" si="29"/>
        <v>4.8611111111111112E-3</v>
      </c>
      <c r="F119" s="43">
        <f t="shared" ca="1" si="47"/>
        <v>0.52013888888888837</v>
      </c>
      <c r="G119" s="43">
        <f t="shared" ca="1" si="43"/>
        <v>1.388888888889217E-3</v>
      </c>
      <c r="H119" t="str">
        <f t="shared" ca="1" si="48"/>
        <v/>
      </c>
      <c r="I119" s="43" t="str">
        <f t="shared" ca="1" si="49"/>
        <v/>
      </c>
      <c r="J119" s="43">
        <f ca="1">IF(ISTEXT($F119),"",MAX($P$19:P118,$F119))</f>
        <v>0.52430555555555536</v>
      </c>
      <c r="K119" s="43">
        <f ca="1">IF(ISTEXT($F119),"",MAX($R$19:R118,$F119))</f>
        <v>0.52152777777777759</v>
      </c>
      <c r="L119" s="43">
        <f t="shared" ca="1" si="44"/>
        <v>0.52361111111111069</v>
      </c>
      <c r="M119" s="43">
        <f t="shared" ca="1" si="45"/>
        <v>0.52152777777777759</v>
      </c>
      <c r="N119">
        <f t="shared" ca="1" si="42"/>
        <v>2</v>
      </c>
      <c r="O119" s="43" t="str">
        <f t="shared" ca="1" si="30"/>
        <v/>
      </c>
      <c r="P119" s="43">
        <f t="shared" ca="1" si="31"/>
        <v>0.52430555555555536</v>
      </c>
      <c r="Q119" s="43">
        <f t="shared" ca="1" si="32"/>
        <v>0.52152777777777759</v>
      </c>
      <c r="R119" s="43">
        <f t="shared" ca="1" si="33"/>
        <v>0.52638888888888868</v>
      </c>
      <c r="S119" s="43" t="str">
        <f t="shared" ca="1" si="34"/>
        <v/>
      </c>
      <c r="T119" s="43">
        <f t="shared" ca="1" si="35"/>
        <v>0.52361111111111069</v>
      </c>
      <c r="U119" s="43" t="str">
        <f t="shared" ca="1" si="36"/>
        <v/>
      </c>
      <c r="V119" s="43">
        <f t="shared" ca="1" si="37"/>
        <v>0.52152777777777759</v>
      </c>
      <c r="W119" s="43">
        <f t="shared" ca="1" si="38"/>
        <v>6.2500000000003109E-3</v>
      </c>
      <c r="X119" s="43">
        <f t="shared" ca="1" si="39"/>
        <v>6.2500000000003282E-3</v>
      </c>
      <c r="Y119" s="43">
        <f t="shared" ca="1" si="40"/>
        <v>0.52638888888888868</v>
      </c>
      <c r="Z119">
        <f ca="1">COUNTIF($M$19:$M118,"&gt;"&amp;$F119)</f>
        <v>0</v>
      </c>
    </row>
    <row r="120" spans="1:26">
      <c r="R120" s="43"/>
    </row>
    <row r="123" spans="1:26">
      <c r="A123" s="55">
        <f ca="1">AVERAGEIF(H20:H119,"",W20:W119)</f>
        <v>8.481329690346236E-3</v>
      </c>
      <c r="B123" t="s">
        <v>69</v>
      </c>
      <c r="O123" s="56">
        <f>(closed-start)*1440</f>
        <v>540</v>
      </c>
      <c r="P123" t="s">
        <v>70</v>
      </c>
    </row>
    <row r="124" spans="1:26">
      <c r="A124" s="57">
        <f ca="1">AVERAGE(G20:G119)</f>
        <v>2.3472222222223867E-3</v>
      </c>
      <c r="B124" t="s">
        <v>71</v>
      </c>
      <c r="K124" s="58"/>
      <c r="N124" s="58" t="s">
        <v>72</v>
      </c>
      <c r="O124" s="56" t="s">
        <v>73</v>
      </c>
    </row>
    <row r="125" spans="1:26">
      <c r="A125" t="s">
        <v>74</v>
      </c>
      <c r="M125">
        <v>1</v>
      </c>
      <c r="N125" s="59">
        <f ca="1">A126</f>
        <v>0.39629629629629903</v>
      </c>
      <c r="O125" s="59">
        <f ca="1">1-N125</f>
        <v>0.60370370370370097</v>
      </c>
    </row>
    <row r="126" spans="1:26">
      <c r="A126" s="60">
        <f ca="1">( (SUMIF(O20:O119,"&gt;0",P20:P119) - SUMIF(O20:O119,"&gt;0",O20:O119) ) *1440 ) / $O$123</f>
        <v>0.39629629629629903</v>
      </c>
      <c r="B126" t="s">
        <v>75</v>
      </c>
      <c r="M126">
        <v>2</v>
      </c>
      <c r="N126" s="59">
        <f t="shared" ref="N126:N127" ca="1" si="50">A127</f>
        <v>0.40000000000000097</v>
      </c>
      <c r="O126" s="59">
        <f t="shared" ref="O126:O127" ca="1" si="51">1-N126</f>
        <v>0.59999999999999898</v>
      </c>
    </row>
    <row r="127" spans="1:26">
      <c r="A127" s="61">
        <f ca="1">( (SUMIF(Q20:Q119,"&gt;0",R20:R119) - SUMIF(Q20:Q119,"&gt;0",Q20:Q119) ) *1440 ) /$O$123</f>
        <v>0.40000000000000097</v>
      </c>
      <c r="B127" t="s">
        <v>76</v>
      </c>
      <c r="M127">
        <v>3</v>
      </c>
      <c r="N127" s="59">
        <f t="shared" ca="1" si="50"/>
        <v>0.38703703703703241</v>
      </c>
      <c r="O127" s="59">
        <f t="shared" ca="1" si="51"/>
        <v>0.61296296296296759</v>
      </c>
    </row>
    <row r="128" spans="1:26">
      <c r="A128" s="62">
        <f ca="1">( (SUMIF(S20:S119,"&gt;0",T20:T119) - SUMIF(S20:S119,"&gt;0",S20:S119) ) *1440 ) / $O$123</f>
        <v>0.38703703703703241</v>
      </c>
      <c r="B128" t="s">
        <v>77</v>
      </c>
    </row>
    <row r="129" spans="1:2">
      <c r="A129" s="63">
        <f ca="1">COUNTIF(H20:H119,"ушел")</f>
        <v>39</v>
      </c>
      <c r="B129" t="s">
        <v>78</v>
      </c>
    </row>
    <row r="130" spans="1:2">
      <c r="A130" s="64">
        <f ca="1">A129 / A119</f>
        <v>0.39</v>
      </c>
      <c r="B130" t="s">
        <v>79</v>
      </c>
    </row>
    <row r="131" spans="1:2">
      <c r="A131" s="65">
        <f ca="1">MAX(Z20:Z119)</f>
        <v>5</v>
      </c>
      <c r="B131" t="s">
        <v>80</v>
      </c>
    </row>
    <row r="132" spans="1:2">
      <c r="A132" s="43">
        <f ca="1">AVERAGE(E20:E119)</f>
        <v>7.305555555555546E-3</v>
      </c>
      <c r="B132" s="66" t="s">
        <v>81</v>
      </c>
    </row>
  </sheetData>
  <mergeCells count="1">
    <mergeCell ref="A6:A8"/>
  </mergeCells>
  <conditionalFormatting sqref="N20:N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87BE-1F7D-46C5-B04D-EEB44FBD7C32}">
  <dimension ref="A1:V118"/>
  <sheetViews>
    <sheetView topLeftCell="A8" zoomScale="70" zoomScaleNormal="70" workbookViewId="0">
      <selection activeCell="L69" sqref="L69"/>
    </sheetView>
  </sheetViews>
  <sheetFormatPr defaultRowHeight="14.5"/>
  <cols>
    <col min="1" max="1" width="11.36328125" customWidth="1"/>
    <col min="2" max="2" width="17.6328125" customWidth="1"/>
    <col min="3" max="3" width="15.1796875" customWidth="1"/>
    <col min="4" max="4" width="19.1796875" customWidth="1"/>
    <col min="5" max="5" width="23" customWidth="1"/>
    <col min="6" max="6" width="22.08984375" customWidth="1"/>
    <col min="7" max="7" width="19.1796875" customWidth="1"/>
    <col min="8" max="8" width="12.453125" customWidth="1"/>
    <col min="9" max="9" width="19.1796875" customWidth="1"/>
    <col min="11" max="11" width="12.6328125" customWidth="1"/>
    <col min="12" max="12" width="22.1796875" customWidth="1"/>
    <col min="13" max="13" width="16.08984375" customWidth="1"/>
    <col min="14" max="14" width="16.81640625" customWidth="1"/>
    <col min="15" max="15" width="22.1796875" customWidth="1"/>
    <col min="16" max="16" width="17.08984375" customWidth="1"/>
    <col min="17" max="17" width="18.08984375" customWidth="1"/>
    <col min="18" max="18" width="18.1796875" customWidth="1"/>
    <col min="19" max="19" width="16.81640625" customWidth="1"/>
  </cols>
  <sheetData>
    <row r="1" spans="1:15">
      <c r="B1" s="1" t="s">
        <v>58</v>
      </c>
      <c r="K1" s="67"/>
      <c r="L1" s="70">
        <f>MIN(K2:K21)</f>
        <v>7.081056466302387E-3</v>
      </c>
      <c r="M1" s="70">
        <f>L1</f>
        <v>7.081056466302387E-3</v>
      </c>
      <c r="N1" s="71" cm="1">
        <f t="array" ref="N1:N8">FREQUENCY(K2:K21, M1:M7)</f>
        <v>1</v>
      </c>
      <c r="O1" t="s">
        <v>111</v>
      </c>
    </row>
    <row r="2" spans="1:15">
      <c r="B2" s="46" t="s">
        <v>59</v>
      </c>
      <c r="C2" s="47">
        <v>0</v>
      </c>
      <c r="K2" s="67">
        <v>8.1790123456790161E-3</v>
      </c>
      <c r="L2" s="70">
        <f>MAX(K2:K21)</f>
        <v>8.857709750566942E-3</v>
      </c>
      <c r="M2" s="70">
        <f>M1+$L$3</f>
        <v>7.3348640783401807E-3</v>
      </c>
      <c r="N2">
        <v>1</v>
      </c>
    </row>
    <row r="3" spans="1:15" ht="75" customHeight="1">
      <c r="A3" s="48" t="s">
        <v>60</v>
      </c>
      <c r="B3" s="49" t="s">
        <v>61</v>
      </c>
      <c r="C3" s="50" t="s">
        <v>62</v>
      </c>
      <c r="D3" s="51" t="s">
        <v>63</v>
      </c>
      <c r="E3" s="52" t="s">
        <v>64</v>
      </c>
      <c r="F3" s="52" t="s">
        <v>65</v>
      </c>
      <c r="G3" s="52" t="s">
        <v>66</v>
      </c>
      <c r="H3" s="53" t="s">
        <v>67</v>
      </c>
      <c r="I3" s="54" t="s">
        <v>68</v>
      </c>
      <c r="K3" s="67">
        <v>8.857709750566942E-3</v>
      </c>
      <c r="L3" s="70">
        <f>(L2-L1)/7</f>
        <v>2.5380761203779359E-4</v>
      </c>
      <c r="M3" s="70">
        <f t="shared" ref="M3:M7" si="0">M2+$L$3</f>
        <v>7.5886716903779744E-3</v>
      </c>
      <c r="N3">
        <v>5</v>
      </c>
    </row>
    <row r="4" spans="1:15">
      <c r="A4">
        <v>1</v>
      </c>
      <c r="B4" s="67">
        <f t="shared" ref="B4:B23" ca="1" si="1">IF(RUNC=A4, ALT,B4)</f>
        <v>9.2470760233919359E-3</v>
      </c>
      <c r="C4" s="67">
        <f t="shared" ref="C4:C23" ca="1" si="2">IF(RUNC=A4,AST,C4)</f>
        <v>7.8749999999999896E-3</v>
      </c>
      <c r="D4">
        <f t="shared" ref="D4:D23" ca="1" si="3">IF(RUNC=A4,NLC,D4)</f>
        <v>43</v>
      </c>
      <c r="E4" s="59">
        <f t="shared" ref="E4:E23" ca="1" si="4">IF(RUNC=A4,E1F,E4)</f>
        <v>0.40185185185184952</v>
      </c>
      <c r="F4" s="59">
        <f t="shared" ref="F4:F23" ca="1" si="5">IF(RUNC=A4,E2F,F4)</f>
        <v>0.41481481481481336</v>
      </c>
      <c r="G4" s="59">
        <f t="shared" ref="G4:G23" ca="1" si="6">IF(RUNC=A4,E3F,G4)</f>
        <v>0.41111111111111143</v>
      </c>
      <c r="H4">
        <f t="shared" ref="H4:H23" ca="1" si="7">IF(RUNC=A4,MXQ,H4)</f>
        <v>6</v>
      </c>
      <c r="I4" s="67">
        <f ca="1">IF(RUNC=A4,MAX(модель!$O$119:$T$119)-[0]!start,I4)</f>
        <v>0.16180555555555498</v>
      </c>
      <c r="K4" s="67">
        <v>7.739898989899012E-3</v>
      </c>
      <c r="M4" s="70">
        <f t="shared" si="0"/>
        <v>7.8424793024157672E-3</v>
      </c>
      <c r="N4">
        <v>7</v>
      </c>
    </row>
    <row r="5" spans="1:15">
      <c r="A5">
        <v>2</v>
      </c>
      <c r="B5" s="67">
        <f t="shared" ca="1" si="1"/>
        <v>8.4889846743295538E-3</v>
      </c>
      <c r="C5" s="67">
        <f t="shared" ca="1" si="2"/>
        <v>7.2361111111111012E-3</v>
      </c>
      <c r="D5">
        <f t="shared" ca="1" si="3"/>
        <v>42</v>
      </c>
      <c r="E5" s="59">
        <f t="shared" ca="1" si="4"/>
        <v>0.3851851851851838</v>
      </c>
      <c r="F5" s="59">
        <f t="shared" ca="1" si="5"/>
        <v>0.38148148148147715</v>
      </c>
      <c r="G5" s="59">
        <f t="shared" ca="1" si="6"/>
        <v>0.37407407407407334</v>
      </c>
      <c r="H5">
        <f t="shared" ca="1" si="7"/>
        <v>5</v>
      </c>
      <c r="I5" s="67">
        <f ca="1">IF(RUNC=A5,MAX(модель!$O$119:$T$119)-[0]!start,I5)</f>
        <v>0.14861111111111069</v>
      </c>
      <c r="K5" s="67">
        <v>7.7172939068100594E-3</v>
      </c>
      <c r="M5" s="70">
        <f t="shared" si="0"/>
        <v>8.0962869144535609E-3</v>
      </c>
      <c r="N5">
        <v>2</v>
      </c>
    </row>
    <row r="6" spans="1:15">
      <c r="A6">
        <v>3</v>
      </c>
      <c r="B6" s="67">
        <f t="shared" ca="1" si="1"/>
        <v>7.9637096774194411E-3</v>
      </c>
      <c r="C6" s="67">
        <f t="shared" ca="1" si="2"/>
        <v>6.9444444444444354E-3</v>
      </c>
      <c r="D6">
        <f t="shared" ca="1" si="3"/>
        <v>38</v>
      </c>
      <c r="E6" s="59">
        <f t="shared" ca="1" si="4"/>
        <v>0.38518518518517908</v>
      </c>
      <c r="F6" s="59">
        <f t="shared" ca="1" si="5"/>
        <v>0.37592592592592428</v>
      </c>
      <c r="G6" s="59">
        <f t="shared" ca="1" si="6"/>
        <v>0.34999999999999903</v>
      </c>
      <c r="H6">
        <f t="shared" ca="1" si="7"/>
        <v>5</v>
      </c>
      <c r="I6" s="67">
        <f ca="1">IF(RUNC=A6,MAX(модель!$O$119:$T$119)-[0]!start,I6)</f>
        <v>0.14791666666666625</v>
      </c>
      <c r="K6" s="67">
        <v>7.5268817204301201E-3</v>
      </c>
      <c r="M6" s="70">
        <f t="shared" si="0"/>
        <v>8.3500945264913546E-3</v>
      </c>
      <c r="N6">
        <v>1</v>
      </c>
    </row>
    <row r="7" spans="1:15">
      <c r="A7">
        <v>4</v>
      </c>
      <c r="B7" s="67">
        <f t="shared" ca="1" si="1"/>
        <v>8.2773297491040409E-3</v>
      </c>
      <c r="C7" s="67">
        <f t="shared" ca="1" si="2"/>
        <v>7.2638888888888796E-3</v>
      </c>
      <c r="D7">
        <f t="shared" ca="1" si="3"/>
        <v>38</v>
      </c>
      <c r="E7" s="59">
        <f t="shared" ca="1" si="4"/>
        <v>0.37777777777777999</v>
      </c>
      <c r="F7" s="59">
        <f t="shared" ca="1" si="5"/>
        <v>0.37407407407407806</v>
      </c>
      <c r="G7" s="59">
        <f t="shared" ca="1" si="6"/>
        <v>0.39259259259259238</v>
      </c>
      <c r="H7">
        <f t="shared" ca="1" si="7"/>
        <v>4</v>
      </c>
      <c r="I7" s="67">
        <f ca="1">IF(RUNC=A7,MAX(модель!$O$119:$T$119)-[0]!start,I7)</f>
        <v>0.15416666666666612</v>
      </c>
      <c r="K7" s="67">
        <v>7.6760912698412721E-3</v>
      </c>
      <c r="M7" s="70">
        <f t="shared" si="0"/>
        <v>8.6039021385291483E-3</v>
      </c>
      <c r="N7">
        <v>2</v>
      </c>
    </row>
    <row r="8" spans="1:15">
      <c r="A8">
        <v>5</v>
      </c>
      <c r="B8" s="67">
        <f t="shared" ca="1" si="1"/>
        <v>7.7868852459016744E-3</v>
      </c>
      <c r="C8" s="67">
        <f t="shared" ca="1" si="2"/>
        <v>7.1388888888888804E-3</v>
      </c>
      <c r="D8">
        <f t="shared" ca="1" si="3"/>
        <v>39</v>
      </c>
      <c r="E8" s="59">
        <f t="shared" ca="1" si="4"/>
        <v>0.35925925925926094</v>
      </c>
      <c r="F8" s="59">
        <f t="shared" ca="1" si="5"/>
        <v>0.34814814814815048</v>
      </c>
      <c r="G8" s="59">
        <f t="shared" ca="1" si="6"/>
        <v>0.3574074074074029</v>
      </c>
      <c r="H8">
        <f t="shared" ca="1" si="7"/>
        <v>5</v>
      </c>
      <c r="I8" s="67">
        <f ca="1">IF(RUNC=A8,MAX(модель!$O$119:$T$119)-[0]!start,I8)</f>
        <v>0.14027777777777728</v>
      </c>
      <c r="K8" s="67">
        <v>7.3588709677419551E-3</v>
      </c>
      <c r="N8">
        <v>1</v>
      </c>
    </row>
    <row r="9" spans="1:15">
      <c r="A9">
        <v>6</v>
      </c>
      <c r="B9" s="67">
        <f t="shared" ca="1" si="1"/>
        <v>8.581349206349325E-3</v>
      </c>
      <c r="C9" s="67">
        <f t="shared" ca="1" si="2"/>
        <v>7.4722222222222126E-3</v>
      </c>
      <c r="D9">
        <f t="shared" ca="1" si="3"/>
        <v>44</v>
      </c>
      <c r="E9" s="59">
        <f t="shared" ca="1" si="4"/>
        <v>0.37222222222222001</v>
      </c>
      <c r="F9" s="59">
        <f t="shared" ca="1" si="5"/>
        <v>0.36111111111111188</v>
      </c>
      <c r="G9" s="59">
        <f t="shared" ca="1" si="6"/>
        <v>0.35185185185185236</v>
      </c>
      <c r="H9">
        <f t="shared" ca="1" si="7"/>
        <v>6</v>
      </c>
      <c r="I9" s="67">
        <f ca="1">IF(RUNC=A9,MAX(модель!$O$119:$T$119)-[0]!start,I9)</f>
        <v>0.14166666666666616</v>
      </c>
      <c r="K9" s="67">
        <v>7.556497175141251E-3</v>
      </c>
    </row>
    <row r="10" spans="1:15">
      <c r="A10">
        <v>7</v>
      </c>
      <c r="B10" s="67">
        <f t="shared" ca="1" si="1"/>
        <v>8.9248971193416939E-3</v>
      </c>
      <c r="C10" s="67">
        <f t="shared" ca="1" si="2"/>
        <v>7.0972222222222148E-3</v>
      </c>
      <c r="D10">
        <f t="shared" ca="1" si="3"/>
        <v>46</v>
      </c>
      <c r="E10" s="59">
        <f t="shared" ca="1" si="4"/>
        <v>0.38148148148147715</v>
      </c>
      <c r="F10" s="59">
        <f t="shared" ca="1" si="5"/>
        <v>0.3796296296296286</v>
      </c>
      <c r="G10" s="59">
        <f t="shared" ca="1" si="6"/>
        <v>0.36111111111110955</v>
      </c>
      <c r="H10">
        <f t="shared" ca="1" si="7"/>
        <v>7</v>
      </c>
      <c r="I10" s="67">
        <f ca="1">IF(RUNC=A10,MAX(модель!$O$119:$T$119)-[0]!start,I10)</f>
        <v>0.14583333333333304</v>
      </c>
      <c r="K10" s="67">
        <v>7.666666666666714E-3</v>
      </c>
    </row>
    <row r="11" spans="1:15">
      <c r="A11">
        <v>8</v>
      </c>
      <c r="B11" s="67">
        <f t="shared" ca="1" si="1"/>
        <v>9.3434343434344643E-3</v>
      </c>
      <c r="C11" s="67">
        <f t="shared" ca="1" si="2"/>
        <v>7.7361111111111016E-3</v>
      </c>
      <c r="D11">
        <f t="shared" ca="1" si="3"/>
        <v>45</v>
      </c>
      <c r="E11" s="59">
        <f t="shared" ca="1" si="4"/>
        <v>0.4092592592592581</v>
      </c>
      <c r="F11" s="59">
        <f t="shared" ca="1" si="5"/>
        <v>0.37407407407407806</v>
      </c>
      <c r="G11" s="59">
        <f t="shared" ca="1" si="6"/>
        <v>0.39999999999999858</v>
      </c>
      <c r="H11">
        <f t="shared" ca="1" si="7"/>
        <v>5</v>
      </c>
      <c r="I11" s="67">
        <f ca="1">IF(RUNC=A11,MAX(модель!$O$119:$T$119)-[0]!start,I11)</f>
        <v>0.15624999999999956</v>
      </c>
      <c r="K11" s="67">
        <v>8.5069444444445322E-3</v>
      </c>
    </row>
    <row r="12" spans="1:15">
      <c r="A12">
        <v>9</v>
      </c>
      <c r="B12" s="67">
        <f t="shared" ca="1" si="1"/>
        <v>8.3459595959596618E-3</v>
      </c>
      <c r="C12" s="67">
        <f t="shared" ca="1" si="2"/>
        <v>7.6111111111111006E-3</v>
      </c>
      <c r="D12">
        <f t="shared" ca="1" si="3"/>
        <v>45</v>
      </c>
      <c r="E12" s="59">
        <f t="shared" ca="1" si="4"/>
        <v>0.35000000000000142</v>
      </c>
      <c r="F12" s="59">
        <f t="shared" ca="1" si="5"/>
        <v>0.35185185185185236</v>
      </c>
      <c r="G12" s="59">
        <f t="shared" ca="1" si="6"/>
        <v>0.3481481481481481</v>
      </c>
      <c r="H12">
        <f t="shared" ca="1" si="7"/>
        <v>5</v>
      </c>
      <c r="I12" s="67">
        <f ca="1">IF(RUNC=A12,MAX(модель!$O$119:$T$119)-[0]!start,I12)</f>
        <v>0.13680555555555529</v>
      </c>
      <c r="K12" s="67">
        <v>7.4505649717514135E-3</v>
      </c>
    </row>
    <row r="13" spans="1:15">
      <c r="A13">
        <v>10</v>
      </c>
      <c r="B13" s="67">
        <f t="shared" ca="1" si="1"/>
        <v>8.0757168458782062E-3</v>
      </c>
      <c r="C13" s="67">
        <f t="shared" ca="1" si="2"/>
        <v>7.041666666666657E-3</v>
      </c>
      <c r="D13">
        <f t="shared" ca="1" si="3"/>
        <v>38</v>
      </c>
      <c r="E13" s="59">
        <f t="shared" ca="1" si="4"/>
        <v>0.38703703703703241</v>
      </c>
      <c r="F13" s="59">
        <f t="shared" ca="1" si="5"/>
        <v>0.37407407407407334</v>
      </c>
      <c r="G13" s="59">
        <f t="shared" ca="1" si="6"/>
        <v>0.38703703703703712</v>
      </c>
      <c r="H13">
        <f t="shared" ca="1" si="7"/>
        <v>6</v>
      </c>
      <c r="I13" s="67">
        <f ca="1">IF(RUNC=A13,MAX(модель!$O$119:$T$119)-[0]!start,I13)</f>
        <v>0.15138888888888835</v>
      </c>
      <c r="K13" s="67">
        <v>7.081056466302387E-3</v>
      </c>
    </row>
    <row r="14" spans="1:15">
      <c r="A14">
        <v>11</v>
      </c>
      <c r="B14" s="67">
        <f t="shared" ca="1" si="1"/>
        <v>8.3101851851852745E-3</v>
      </c>
      <c r="C14" s="67">
        <f t="shared" ca="1" si="2"/>
        <v>6.8472222222222138E-3</v>
      </c>
      <c r="D14">
        <f t="shared" ca="1" si="3"/>
        <v>40</v>
      </c>
      <c r="E14" s="59">
        <f t="shared" ca="1" si="4"/>
        <v>0.37407407407407095</v>
      </c>
      <c r="F14" s="59">
        <f t="shared" ca="1" si="5"/>
        <v>0.38888888888888573</v>
      </c>
      <c r="G14" s="59">
        <f t="shared" ca="1" si="6"/>
        <v>0.37777777777777527</v>
      </c>
      <c r="H14">
        <f t="shared" ca="1" si="7"/>
        <v>4</v>
      </c>
      <c r="I14" s="67">
        <f ca="1">IF(RUNC=A14,MAX(модель!$O$119:$T$119)-[0]!start,I14)</f>
        <v>0.15277777777777724</v>
      </c>
      <c r="K14" s="67">
        <v>7.7628968253968715E-3</v>
      </c>
    </row>
    <row r="15" spans="1:15">
      <c r="A15">
        <v>12</v>
      </c>
      <c r="B15" s="67">
        <f t="shared" ca="1" si="1"/>
        <v>9.1692386831276791E-3</v>
      </c>
      <c r="C15" s="67">
        <f t="shared" ca="1" si="2"/>
        <v>7.7361111111111016E-3</v>
      </c>
      <c r="D15">
        <f t="shared" ca="1" si="3"/>
        <v>46</v>
      </c>
      <c r="E15" s="59">
        <f t="shared" ca="1" si="4"/>
        <v>0.38333333333333047</v>
      </c>
      <c r="F15" s="59">
        <f t="shared" ca="1" si="5"/>
        <v>0.37037037037036669</v>
      </c>
      <c r="G15" s="59">
        <f t="shared" ca="1" si="6"/>
        <v>0.36851851851852047</v>
      </c>
      <c r="H15">
        <f t="shared" ca="1" si="7"/>
        <v>6</v>
      </c>
      <c r="I15" s="67">
        <f ca="1">IF(RUNC=A15,MAX(модель!$O$119:$T$119)-[0]!start,I15)</f>
        <v>0.14722222222222181</v>
      </c>
      <c r="K15" s="67">
        <v>7.9545454545455058E-3</v>
      </c>
    </row>
    <row r="16" spans="1:15">
      <c r="A16">
        <v>13</v>
      </c>
      <c r="B16" s="67">
        <f t="shared" ca="1" si="1"/>
        <v>7.8072390572391341E-3</v>
      </c>
      <c r="C16" s="67">
        <f t="shared" ca="1" si="2"/>
        <v>7.0416666666666596E-3</v>
      </c>
      <c r="D16">
        <f t="shared" ca="1" si="3"/>
        <v>34</v>
      </c>
      <c r="E16" s="59">
        <f t="shared" ca="1" si="4"/>
        <v>0.39259259259259238</v>
      </c>
      <c r="F16" s="59">
        <f t="shared" ca="1" si="5"/>
        <v>0.38888888888889045</v>
      </c>
      <c r="G16" s="59">
        <f t="shared" ca="1" si="6"/>
        <v>0.39629629629629431</v>
      </c>
      <c r="H16">
        <f t="shared" ca="1" si="7"/>
        <v>4</v>
      </c>
      <c r="I16" s="67">
        <f ca="1">IF(RUNC=A16,MAX(модель!$O$119:$T$119)-[0]!start,I16)</f>
        <v>0.155555555555555</v>
      </c>
      <c r="K16" s="67">
        <v>7.7363547758284657E-3</v>
      </c>
    </row>
    <row r="17" spans="1:19">
      <c r="A17">
        <v>14</v>
      </c>
      <c r="B17" s="67">
        <f t="shared" ca="1" si="1"/>
        <v>8.5891812865498043E-3</v>
      </c>
      <c r="C17" s="67">
        <f t="shared" ca="1" si="2"/>
        <v>7.6111111111111015E-3</v>
      </c>
      <c r="D17">
        <f t="shared" ca="1" si="3"/>
        <v>43</v>
      </c>
      <c r="E17" s="59">
        <f t="shared" ca="1" si="4"/>
        <v>0.38333333333333286</v>
      </c>
      <c r="F17" s="59">
        <f t="shared" ca="1" si="5"/>
        <v>0.3648148148148162</v>
      </c>
      <c r="G17" s="59">
        <f t="shared" ca="1" si="6"/>
        <v>0.35370370370370569</v>
      </c>
      <c r="H17">
        <f t="shared" ca="1" si="7"/>
        <v>8</v>
      </c>
      <c r="I17" s="67">
        <f ca="1">IF(RUNC=A17,MAX(модель!$O$119:$T$119)-[0]!start,I17)</f>
        <v>0.14652777777777759</v>
      </c>
      <c r="K17" s="67">
        <v>7.6149425287356468E-3</v>
      </c>
    </row>
    <row r="18" spans="1:19">
      <c r="A18">
        <v>15</v>
      </c>
      <c r="B18" s="67">
        <f t="shared" ca="1" si="1"/>
        <v>8.4510357815443665E-3</v>
      </c>
      <c r="C18" s="67">
        <f t="shared" ca="1" si="2"/>
        <v>7.24999999999999E-3</v>
      </c>
      <c r="D18">
        <f t="shared" ca="1" si="3"/>
        <v>41</v>
      </c>
      <c r="E18" s="59">
        <f t="shared" ca="1" si="4"/>
        <v>0.39629629629629431</v>
      </c>
      <c r="F18" s="59">
        <f t="shared" ca="1" si="5"/>
        <v>0.3648148148148162</v>
      </c>
      <c r="G18" s="59">
        <f t="shared" ca="1" si="6"/>
        <v>0.36666666666666475</v>
      </c>
      <c r="H18">
        <f t="shared" ca="1" si="7"/>
        <v>6</v>
      </c>
      <c r="I18" s="67">
        <f ca="1">IF(RUNC=A18,MAX(модель!$O$119:$T$119)-[0]!start,I18)</f>
        <v>0.14930555555555536</v>
      </c>
      <c r="K18" s="67">
        <v>7.5488683127572006E-3</v>
      </c>
    </row>
    <row r="19" spans="1:19">
      <c r="A19">
        <v>16</v>
      </c>
      <c r="B19" s="67">
        <f t="shared" ca="1" si="1"/>
        <v>8.6520947176685816E-3</v>
      </c>
      <c r="C19" s="67">
        <f t="shared" ca="1" si="2"/>
        <v>7.7222222222222137E-3</v>
      </c>
      <c r="D19">
        <f t="shared" ca="1" si="3"/>
        <v>39</v>
      </c>
      <c r="E19" s="59">
        <f t="shared" ca="1" si="4"/>
        <v>0.40185185185184952</v>
      </c>
      <c r="F19" s="59">
        <f t="shared" ca="1" si="5"/>
        <v>0.39444444444444099</v>
      </c>
      <c r="G19" s="59">
        <f t="shared" ca="1" si="6"/>
        <v>0.39074074074074377</v>
      </c>
      <c r="H19">
        <f t="shared" ca="1" si="7"/>
        <v>4</v>
      </c>
      <c r="I19" s="67">
        <f ca="1">IF(RUNC=A19,MAX(модель!$O$119:$T$119)-[0]!start,I19)</f>
        <v>0.15138888888888857</v>
      </c>
      <c r="K19" s="67">
        <v>7.2916666666666703E-3</v>
      </c>
    </row>
    <row r="20" spans="1:19">
      <c r="A20">
        <v>17</v>
      </c>
      <c r="B20" s="67">
        <f t="shared" ca="1" si="1"/>
        <v>8.7626262626263884E-3</v>
      </c>
      <c r="C20" s="67">
        <f t="shared" ca="1" si="2"/>
        <v>7.1805555555555468E-3</v>
      </c>
      <c r="D20">
        <f t="shared" ca="1" si="3"/>
        <v>45</v>
      </c>
      <c r="E20" s="59">
        <f t="shared" ca="1" si="4"/>
        <v>0.37777777777777999</v>
      </c>
      <c r="F20" s="59">
        <f t="shared" ca="1" si="5"/>
        <v>0.37777777777777527</v>
      </c>
      <c r="G20" s="59">
        <f t="shared" ca="1" si="6"/>
        <v>0.35370370370370097</v>
      </c>
      <c r="H20">
        <f t="shared" ca="1" si="7"/>
        <v>8</v>
      </c>
      <c r="I20" s="67">
        <f ca="1">IF(RUNC=A20,MAX(модель!$O$119:$T$119)-[0]!start,I20)</f>
        <v>0.1472222222222217</v>
      </c>
      <c r="K20" s="67">
        <v>8.460884353741524E-3</v>
      </c>
    </row>
    <row r="21" spans="1:19">
      <c r="A21">
        <v>18</v>
      </c>
      <c r="B21" s="67">
        <f t="shared" ca="1" si="1"/>
        <v>9.6805555555557372E-3</v>
      </c>
      <c r="C21" s="67">
        <f t="shared" ca="1" si="2"/>
        <v>8.2777777777777676E-3</v>
      </c>
      <c r="D21">
        <f t="shared" ca="1" si="3"/>
        <v>50</v>
      </c>
      <c r="E21" s="59">
        <f t="shared" ca="1" si="4"/>
        <v>0.36666666666666714</v>
      </c>
      <c r="F21" s="59">
        <f t="shared" ca="1" si="5"/>
        <v>0.36111111111110716</v>
      </c>
      <c r="G21" s="59">
        <f t="shared" ca="1" si="6"/>
        <v>0.37962962962962621</v>
      </c>
      <c r="H21">
        <f t="shared" ca="1" si="7"/>
        <v>5</v>
      </c>
      <c r="I21" s="67">
        <f ca="1">IF(RUNC=A21,MAX(модель!$O$119:$T$119)-[0]!start,I21)</f>
        <v>0.14791666666666647</v>
      </c>
      <c r="K21" s="67">
        <v>7.9556530214425197E-3</v>
      </c>
    </row>
    <row r="22" spans="1:19">
      <c r="A22">
        <v>19</v>
      </c>
      <c r="B22" s="67">
        <f t="shared" ca="1" si="1"/>
        <v>8.0942622950820713E-3</v>
      </c>
      <c r="C22" s="67">
        <f t="shared" ca="1" si="2"/>
        <v>6.6527777777777696E-3</v>
      </c>
      <c r="D22">
        <f t="shared" ca="1" si="3"/>
        <v>39</v>
      </c>
      <c r="E22" s="59">
        <f t="shared" ca="1" si="4"/>
        <v>0.3796296296296286</v>
      </c>
      <c r="F22" s="59">
        <f t="shared" ca="1" si="5"/>
        <v>0.3703703703703714</v>
      </c>
      <c r="G22" s="59">
        <f t="shared" ca="1" si="6"/>
        <v>0.36296296296296759</v>
      </c>
      <c r="H22">
        <f t="shared" ca="1" si="7"/>
        <v>6</v>
      </c>
      <c r="I22" s="67">
        <f ca="1">IF(RUNC=A22,MAX(модель!$O$119:$T$119)-[0]!start,I22)</f>
        <v>0.14513888888888871</v>
      </c>
      <c r="K22" s="67"/>
    </row>
    <row r="23" spans="1:19">
      <c r="A23">
        <v>20</v>
      </c>
      <c r="B23" s="67">
        <f t="shared" ca="1" si="1"/>
        <v>8.5967432950192421E-3</v>
      </c>
      <c r="C23" s="67">
        <f t="shared" ca="1" si="2"/>
        <v>7.499999999999991E-3</v>
      </c>
      <c r="D23">
        <f t="shared" ca="1" si="3"/>
        <v>42</v>
      </c>
      <c r="E23" s="59">
        <f t="shared" ca="1" si="4"/>
        <v>0.37592592592592666</v>
      </c>
      <c r="F23" s="59">
        <f t="shared" ca="1" si="5"/>
        <v>0.39814814814814764</v>
      </c>
      <c r="G23" s="59">
        <f t="shared" ca="1" si="6"/>
        <v>0.36296296296296049</v>
      </c>
      <c r="H23">
        <f t="shared" ca="1" si="7"/>
        <v>6</v>
      </c>
      <c r="I23" s="67">
        <f ca="1">IF(RUNC=A23,MAX(модель!$O$119:$T$119)-[0]!start,I23)</f>
        <v>0.15416666666666634</v>
      </c>
    </row>
    <row r="25" spans="1:19" ht="15" customHeight="1">
      <c r="A25" s="91" t="s">
        <v>116</v>
      </c>
    </row>
    <row r="26" spans="1:19" ht="16.75" customHeight="1"/>
    <row r="27" spans="1:19" ht="62.4" customHeight="1" thickBot="1">
      <c r="A27" s="73" t="s">
        <v>60</v>
      </c>
      <c r="B27" s="79" t="s">
        <v>61</v>
      </c>
      <c r="C27" s="75" t="s">
        <v>62</v>
      </c>
      <c r="D27" s="76" t="s">
        <v>63</v>
      </c>
      <c r="E27" s="77" t="s">
        <v>64</v>
      </c>
      <c r="F27" s="77" t="s">
        <v>65</v>
      </c>
      <c r="G27" s="77" t="s">
        <v>66</v>
      </c>
      <c r="H27" s="78" t="s">
        <v>67</v>
      </c>
      <c r="I27" s="74" t="s">
        <v>68</v>
      </c>
    </row>
    <row r="28" spans="1:19">
      <c r="A28">
        <v>1</v>
      </c>
      <c r="B28" s="67">
        <v>8.1790123456790161E-3</v>
      </c>
      <c r="C28" s="67">
        <v>7.7083333333333223E-3</v>
      </c>
      <c r="D28" s="83">
        <v>46</v>
      </c>
      <c r="E28" s="59">
        <v>0.37222222222222001</v>
      </c>
      <c r="F28" s="59">
        <v>0.38888888888889045</v>
      </c>
      <c r="G28" s="59">
        <v>0.35740740740740762</v>
      </c>
      <c r="H28">
        <v>4</v>
      </c>
      <c r="I28" s="67">
        <v>0.15208333333333279</v>
      </c>
      <c r="L28" s="68" t="s">
        <v>61</v>
      </c>
      <c r="M28" s="68"/>
      <c r="O28" s="68" t="s">
        <v>99</v>
      </c>
      <c r="P28" s="68"/>
      <c r="R28" s="68" t="s">
        <v>110</v>
      </c>
      <c r="S28" s="68"/>
    </row>
    <row r="29" spans="1:19">
      <c r="A29">
        <v>2</v>
      </c>
      <c r="B29" s="67">
        <v>8.857709750566942E-3</v>
      </c>
      <c r="C29" s="67">
        <v>7.9027777777777655E-3</v>
      </c>
      <c r="D29" s="83">
        <v>51</v>
      </c>
      <c r="E29" s="59">
        <v>0.37407407407407334</v>
      </c>
      <c r="F29" s="59">
        <v>0.35740740740740523</v>
      </c>
      <c r="G29" s="59">
        <v>0.37407407407407095</v>
      </c>
      <c r="H29">
        <v>4</v>
      </c>
      <c r="I29" s="67">
        <v>0.14791666666666614</v>
      </c>
    </row>
    <row r="30" spans="1:19">
      <c r="A30">
        <v>3</v>
      </c>
      <c r="B30" s="67">
        <v>7.739898989899012E-3</v>
      </c>
      <c r="C30" s="67">
        <v>7.4583333333333255E-3</v>
      </c>
      <c r="D30" s="83">
        <v>45</v>
      </c>
      <c r="E30" s="59">
        <v>0.38148148148147715</v>
      </c>
      <c r="F30" s="59">
        <v>0.35370370370370335</v>
      </c>
      <c r="G30" s="59">
        <v>0.35925925925925623</v>
      </c>
      <c r="H30">
        <v>5</v>
      </c>
      <c r="I30" s="67">
        <v>0.14930555555555503</v>
      </c>
      <c r="L30" t="s">
        <v>86</v>
      </c>
      <c r="M30" s="67">
        <v>7.7821650307194536E-3</v>
      </c>
      <c r="O30" t="s">
        <v>86</v>
      </c>
      <c r="P30" s="67">
        <v>7.3131944444444347E-3</v>
      </c>
      <c r="R30" t="s">
        <v>86</v>
      </c>
      <c r="S30">
        <v>43.75</v>
      </c>
    </row>
    <row r="31" spans="1:19" ht="14.4" customHeight="1">
      <c r="A31">
        <v>4</v>
      </c>
      <c r="B31" s="67">
        <v>7.7172939068100594E-3</v>
      </c>
      <c r="C31" s="67">
        <v>7.3472222222222142E-3</v>
      </c>
      <c r="D31" s="83">
        <v>38</v>
      </c>
      <c r="E31" s="59">
        <v>0.39629629629629903</v>
      </c>
      <c r="F31" s="59">
        <v>0.40555555555556094</v>
      </c>
      <c r="G31" s="59">
        <v>0.4018518518518448</v>
      </c>
      <c r="H31">
        <v>5</v>
      </c>
      <c r="I31" s="67">
        <v>0.16319444444444386</v>
      </c>
      <c r="L31" t="s">
        <v>87</v>
      </c>
      <c r="M31">
        <v>9.7506856528421605E-5</v>
      </c>
      <c r="O31" t="s">
        <v>87</v>
      </c>
      <c r="P31">
        <v>7.1692239816018678E-5</v>
      </c>
      <c r="R31" t="s">
        <v>87</v>
      </c>
      <c r="S31">
        <v>1.0256576837378668</v>
      </c>
    </row>
    <row r="32" spans="1:19">
      <c r="A32">
        <v>5</v>
      </c>
      <c r="B32" s="67">
        <v>7.5268817204301201E-3</v>
      </c>
      <c r="C32" s="67">
        <v>7.3472222222222142E-3</v>
      </c>
      <c r="D32" s="83">
        <v>38</v>
      </c>
      <c r="E32" s="59">
        <v>0.3925925925925971</v>
      </c>
      <c r="F32" s="59">
        <v>0.41111111111111143</v>
      </c>
      <c r="G32" s="59">
        <v>0.38148148148148192</v>
      </c>
      <c r="H32">
        <v>4</v>
      </c>
      <c r="I32" s="67">
        <v>0.16249999999999953</v>
      </c>
      <c r="L32" t="s">
        <v>88</v>
      </c>
      <c r="M32" s="67">
        <v>7.6966925883256657E-3</v>
      </c>
      <c r="O32" t="s">
        <v>88</v>
      </c>
      <c r="P32" s="67">
        <v>7.2916666666666564E-3</v>
      </c>
      <c r="R32" t="s">
        <v>88</v>
      </c>
      <c r="S32">
        <v>43.5</v>
      </c>
    </row>
    <row r="33" spans="1:19">
      <c r="A33">
        <v>6</v>
      </c>
      <c r="B33" s="67">
        <v>7.6760912698412721E-3</v>
      </c>
      <c r="C33" s="67">
        <v>7.2499999999999908E-3</v>
      </c>
      <c r="D33" s="83">
        <v>44</v>
      </c>
      <c r="E33" s="59">
        <v>0.38333333333333525</v>
      </c>
      <c r="F33" s="59">
        <v>0.34444444444444616</v>
      </c>
      <c r="G33" s="59">
        <v>0.36851851851852285</v>
      </c>
      <c r="H33">
        <v>6</v>
      </c>
      <c r="I33" s="67">
        <v>0.14861111111111058</v>
      </c>
      <c r="L33" t="s">
        <v>89</v>
      </c>
      <c r="M33" s="67" t="e">
        <v>#N/A</v>
      </c>
      <c r="O33" t="s">
        <v>89</v>
      </c>
      <c r="P33" s="67">
        <v>7.3472222222222142E-3</v>
      </c>
      <c r="R33" t="s">
        <v>89</v>
      </c>
      <c r="S33">
        <v>38</v>
      </c>
    </row>
    <row r="34" spans="1:19">
      <c r="A34">
        <v>7</v>
      </c>
      <c r="B34" s="67">
        <v>7.3588709677419551E-3</v>
      </c>
      <c r="C34" s="67">
        <v>6.6666666666666584E-3</v>
      </c>
      <c r="D34" s="83">
        <v>38</v>
      </c>
      <c r="E34" s="59">
        <v>0.38518518518518857</v>
      </c>
      <c r="F34" s="59">
        <v>0.39074074074074377</v>
      </c>
      <c r="G34" s="59">
        <v>0.36851851851851808</v>
      </c>
      <c r="H34">
        <v>5</v>
      </c>
      <c r="I34" s="67">
        <v>0.15763888888888833</v>
      </c>
      <c r="L34" t="s">
        <v>90</v>
      </c>
      <c r="M34" s="67">
        <v>4.3606391893973972E-4</v>
      </c>
      <c r="O34" t="s">
        <v>90</v>
      </c>
      <c r="P34" s="67">
        <v>3.206174433756696E-4</v>
      </c>
      <c r="R34" t="s">
        <v>90</v>
      </c>
      <c r="S34">
        <v>4.5868806049657023</v>
      </c>
    </row>
    <row r="35" spans="1:19">
      <c r="A35">
        <v>8</v>
      </c>
      <c r="B35" s="67">
        <v>7.556497175141251E-3</v>
      </c>
      <c r="C35" s="67">
        <v>7.24999999999999E-3</v>
      </c>
      <c r="D35" s="83">
        <v>41</v>
      </c>
      <c r="E35" s="59">
        <v>0.36851851851851808</v>
      </c>
      <c r="F35" s="59">
        <v>0.3851851851851838</v>
      </c>
      <c r="G35" s="59">
        <v>0.3629629629629581</v>
      </c>
      <c r="H35">
        <v>3</v>
      </c>
      <c r="I35" s="67">
        <v>0.15138888888888835</v>
      </c>
      <c r="L35" t="s">
        <v>91</v>
      </c>
      <c r="M35">
        <v>1.901517414010839E-7</v>
      </c>
      <c r="O35" t="s">
        <v>91</v>
      </c>
      <c r="P35">
        <v>1.0279554499675071E-7</v>
      </c>
      <c r="R35" t="s">
        <v>91</v>
      </c>
      <c r="S35">
        <v>21.039473684210527</v>
      </c>
    </row>
    <row r="36" spans="1:19">
      <c r="A36">
        <v>9</v>
      </c>
      <c r="B36" s="67">
        <v>7.666666666666714E-3</v>
      </c>
      <c r="C36" s="67">
        <v>7.4027777777777685E-3</v>
      </c>
      <c r="D36" s="83">
        <v>50</v>
      </c>
      <c r="E36" s="59">
        <v>0.32962962962962905</v>
      </c>
      <c r="F36" s="59">
        <v>0.32962962962962666</v>
      </c>
      <c r="G36" s="59">
        <v>0.32962962962962666</v>
      </c>
      <c r="H36">
        <v>7</v>
      </c>
      <c r="I36" s="67">
        <v>0.12916666666666632</v>
      </c>
      <c r="L36" t="s">
        <v>92</v>
      </c>
      <c r="M36">
        <v>0.87122804651039321</v>
      </c>
      <c r="O36" t="s">
        <v>92</v>
      </c>
      <c r="P36">
        <v>0.3107464012700385</v>
      </c>
      <c r="R36" t="s">
        <v>92</v>
      </c>
      <c r="S36">
        <v>-0.8063439200690512</v>
      </c>
    </row>
    <row r="37" spans="1:19">
      <c r="A37">
        <v>10</v>
      </c>
      <c r="B37" s="67">
        <v>8.5069444444445322E-3</v>
      </c>
      <c r="C37" s="67">
        <v>7.8611111111111E-3</v>
      </c>
      <c r="D37" s="83">
        <v>52</v>
      </c>
      <c r="E37" s="59">
        <v>0.34629629629629005</v>
      </c>
      <c r="F37" s="59">
        <v>0.3499999999999967</v>
      </c>
      <c r="G37" s="59">
        <v>0.34444444444444383</v>
      </c>
      <c r="H37">
        <v>6</v>
      </c>
      <c r="I37" s="67">
        <v>0.13749999999999973</v>
      </c>
      <c r="L37" t="s">
        <v>93</v>
      </c>
      <c r="M37">
        <v>0.9780508635277495</v>
      </c>
      <c r="O37" t="s">
        <v>93</v>
      </c>
      <c r="P37">
        <v>-8.0808199827727342E-2</v>
      </c>
      <c r="R37" t="s">
        <v>93</v>
      </c>
      <c r="S37">
        <v>0.41152981071858891</v>
      </c>
    </row>
    <row r="38" spans="1:19">
      <c r="A38">
        <v>11</v>
      </c>
      <c r="B38" s="67">
        <v>7.4505649717514135E-3</v>
      </c>
      <c r="C38" s="67">
        <v>7.1944444444444347E-3</v>
      </c>
      <c r="D38" s="83">
        <v>41</v>
      </c>
      <c r="E38" s="59">
        <v>0.36296296296296288</v>
      </c>
      <c r="F38" s="59">
        <v>0.37962962962963803</v>
      </c>
      <c r="G38" s="59">
        <v>0.3629629629629581</v>
      </c>
      <c r="H38">
        <v>3</v>
      </c>
      <c r="I38" s="67">
        <v>0.14999999999999947</v>
      </c>
      <c r="L38" t="s">
        <v>94</v>
      </c>
      <c r="M38" s="67">
        <v>1.776653284264555E-3</v>
      </c>
      <c r="O38" t="s">
        <v>94</v>
      </c>
      <c r="P38" s="67">
        <v>1.2361111111111071E-3</v>
      </c>
      <c r="R38" t="s">
        <v>94</v>
      </c>
      <c r="S38">
        <v>14</v>
      </c>
    </row>
    <row r="39" spans="1:19">
      <c r="A39">
        <v>12</v>
      </c>
      <c r="B39" s="67">
        <v>7.081056466302387E-3</v>
      </c>
      <c r="C39" s="67">
        <v>6.9305555555555466E-3</v>
      </c>
      <c r="D39" s="83">
        <v>39</v>
      </c>
      <c r="E39" s="59">
        <v>0.36851851851852047</v>
      </c>
      <c r="F39" s="59">
        <v>0.35925925925926094</v>
      </c>
      <c r="G39" s="59">
        <v>0.35555555555555429</v>
      </c>
      <c r="H39">
        <v>3</v>
      </c>
      <c r="I39" s="67">
        <v>0.14513888888888837</v>
      </c>
      <c r="L39" t="s">
        <v>95</v>
      </c>
      <c r="M39" s="67">
        <v>7.081056466302387E-3</v>
      </c>
      <c r="O39" t="s">
        <v>95</v>
      </c>
      <c r="P39" s="67">
        <v>6.6666666666666584E-3</v>
      </c>
      <c r="R39" t="s">
        <v>95</v>
      </c>
      <c r="S39">
        <v>38</v>
      </c>
    </row>
    <row r="40" spans="1:19">
      <c r="A40">
        <v>13</v>
      </c>
      <c r="B40" s="67">
        <v>7.7628968253968715E-3</v>
      </c>
      <c r="C40" s="67">
        <v>7.3333333333333228E-3</v>
      </c>
      <c r="D40" s="83">
        <v>44</v>
      </c>
      <c r="E40" s="59">
        <v>0.38148148148148664</v>
      </c>
      <c r="F40" s="59">
        <v>0.37962962962962621</v>
      </c>
      <c r="G40" s="59">
        <v>0.35000000000000142</v>
      </c>
      <c r="H40">
        <v>4</v>
      </c>
      <c r="I40" s="67">
        <v>0.14930555555555503</v>
      </c>
      <c r="L40" t="s">
        <v>96</v>
      </c>
      <c r="M40" s="67">
        <v>8.857709750566942E-3</v>
      </c>
      <c r="O40" t="s">
        <v>96</v>
      </c>
      <c r="P40" s="67">
        <v>7.9027777777777655E-3</v>
      </c>
      <c r="R40" t="s">
        <v>96</v>
      </c>
      <c r="S40">
        <v>52</v>
      </c>
    </row>
    <row r="41" spans="1:19">
      <c r="A41">
        <v>14</v>
      </c>
      <c r="B41" s="67">
        <v>7.9545454545455058E-3</v>
      </c>
      <c r="C41" s="67">
        <v>7.6805555555555464E-3</v>
      </c>
      <c r="D41" s="83">
        <v>45</v>
      </c>
      <c r="E41" s="59">
        <v>0.37777777777777527</v>
      </c>
      <c r="F41" s="59">
        <v>0.35740740740741234</v>
      </c>
      <c r="G41" s="59">
        <v>0.37407407407407095</v>
      </c>
      <c r="H41">
        <v>7</v>
      </c>
      <c r="I41" s="67">
        <v>0.15069444444444391</v>
      </c>
      <c r="L41" t="s">
        <v>97</v>
      </c>
      <c r="M41" s="67">
        <v>0.15564330061438908</v>
      </c>
      <c r="O41" t="s">
        <v>97</v>
      </c>
      <c r="P41" s="67">
        <v>0.14626388888888869</v>
      </c>
      <c r="R41" t="s">
        <v>97</v>
      </c>
      <c r="S41">
        <v>875</v>
      </c>
    </row>
    <row r="42" spans="1:19" ht="15" thickBot="1">
      <c r="A42">
        <v>15</v>
      </c>
      <c r="B42" s="67">
        <v>7.7363547758284657E-3</v>
      </c>
      <c r="C42" s="67">
        <v>7.1111111111111002E-3</v>
      </c>
      <c r="D42" s="83">
        <v>43</v>
      </c>
      <c r="E42" s="59">
        <v>0.3870370370370419</v>
      </c>
      <c r="F42" s="59">
        <v>0.37222222222222001</v>
      </c>
      <c r="G42" s="59">
        <v>0.36111111111111188</v>
      </c>
      <c r="H42">
        <v>5</v>
      </c>
      <c r="I42" s="67">
        <v>0.15208333333333279</v>
      </c>
      <c r="L42" s="80" t="s">
        <v>98</v>
      </c>
      <c r="M42" s="80">
        <v>20</v>
      </c>
      <c r="O42" s="80" t="s">
        <v>98</v>
      </c>
      <c r="P42" s="80">
        <v>20</v>
      </c>
      <c r="R42" t="s">
        <v>98</v>
      </c>
      <c r="S42">
        <v>20</v>
      </c>
    </row>
    <row r="43" spans="1:19">
      <c r="A43">
        <v>16</v>
      </c>
      <c r="B43" s="67">
        <v>7.6149425287356468E-3</v>
      </c>
      <c r="C43" s="67">
        <v>7.2361111111111012E-3</v>
      </c>
      <c r="D43" s="83">
        <v>42</v>
      </c>
      <c r="E43" s="59">
        <v>0.39074074074074377</v>
      </c>
      <c r="F43" s="59">
        <v>0.36666666666666475</v>
      </c>
      <c r="G43" s="59">
        <v>0.35370370370371046</v>
      </c>
      <c r="H43">
        <v>3</v>
      </c>
      <c r="I43" s="67">
        <v>0.15138888888888835</v>
      </c>
      <c r="R43" t="s">
        <v>108</v>
      </c>
      <c r="S43">
        <v>51</v>
      </c>
    </row>
    <row r="44" spans="1:19" ht="15" thickBot="1">
      <c r="A44">
        <v>17</v>
      </c>
      <c r="B44" s="67">
        <v>7.5488683127572006E-3</v>
      </c>
      <c r="C44" s="67">
        <v>7.2222222222222132E-3</v>
      </c>
      <c r="D44" s="83">
        <v>46</v>
      </c>
      <c r="E44" s="59">
        <v>0.3481481481481481</v>
      </c>
      <c r="F44" s="59">
        <v>0.35925925925925623</v>
      </c>
      <c r="G44" s="59">
        <v>0.32592592592592479</v>
      </c>
      <c r="H44">
        <v>5</v>
      </c>
      <c r="I44" s="67">
        <v>0.14583333333333282</v>
      </c>
      <c r="R44" s="80" t="s">
        <v>109</v>
      </c>
      <c r="S44" s="80">
        <v>38</v>
      </c>
    </row>
    <row r="45" spans="1:19">
      <c r="A45">
        <v>18</v>
      </c>
      <c r="B45" s="67">
        <v>7.2916666666666703E-3</v>
      </c>
      <c r="C45" s="67">
        <v>6.7361111111111024E-3</v>
      </c>
      <c r="D45" s="83">
        <v>38</v>
      </c>
      <c r="E45" s="59">
        <v>0.38148148148147715</v>
      </c>
      <c r="F45" s="59">
        <v>0.37407407407407334</v>
      </c>
      <c r="G45" s="59">
        <v>0.35555555555555901</v>
      </c>
      <c r="H45">
        <v>3</v>
      </c>
      <c r="I45" s="67">
        <v>0.14652777777777726</v>
      </c>
      <c r="L45" s="68" t="s">
        <v>100</v>
      </c>
      <c r="M45" s="68"/>
      <c r="O45" s="68" t="s">
        <v>101</v>
      </c>
      <c r="P45" s="68"/>
      <c r="R45" s="68" t="s">
        <v>102</v>
      </c>
      <c r="S45" s="68"/>
    </row>
    <row r="46" spans="1:19">
      <c r="A46">
        <v>19</v>
      </c>
      <c r="B46" s="67">
        <v>8.460884353741524E-3</v>
      </c>
      <c r="C46" s="67">
        <v>7.3749999999999892E-3</v>
      </c>
      <c r="D46" s="83">
        <v>51</v>
      </c>
      <c r="E46" s="59">
        <v>0.35740740740740762</v>
      </c>
      <c r="F46" s="59">
        <v>0.35185185185185236</v>
      </c>
      <c r="G46" s="59">
        <v>0.34444444444444855</v>
      </c>
      <c r="H46">
        <v>5</v>
      </c>
      <c r="I46" s="67">
        <v>0.13958333333333284</v>
      </c>
    </row>
    <row r="47" spans="1:19">
      <c r="A47">
        <v>20</v>
      </c>
      <c r="B47" s="67">
        <v>7.9556530214425197E-3</v>
      </c>
      <c r="C47" s="67">
        <v>7.2499999999999908E-3</v>
      </c>
      <c r="D47" s="83">
        <v>43</v>
      </c>
      <c r="E47" s="59">
        <v>0.3851851851851838</v>
      </c>
      <c r="F47" s="59">
        <v>0.37592592592592194</v>
      </c>
      <c r="G47" s="59">
        <v>0.37037037037036669</v>
      </c>
      <c r="H47">
        <v>4</v>
      </c>
      <c r="I47" s="67">
        <v>0.15138888888888835</v>
      </c>
      <c r="L47" t="s">
        <v>86</v>
      </c>
      <c r="M47">
        <v>0.37351851851851869</v>
      </c>
      <c r="O47" t="s">
        <v>86</v>
      </c>
      <c r="P47">
        <v>0.36962962962962975</v>
      </c>
      <c r="R47" t="s">
        <v>86</v>
      </c>
      <c r="S47">
        <v>0.36009259259259185</v>
      </c>
    </row>
    <row r="48" spans="1:19">
      <c r="A48" t="s">
        <v>82</v>
      </c>
      <c r="B48" s="67">
        <f>SUBTOTAL(101,Таблица1[среднее время пребывания в системе])</f>
        <v>7.7821650307194536E-3</v>
      </c>
      <c r="C48" s="67">
        <f>SUBTOTAL(101,Таблица1[среднее время обслуживания])</f>
        <v>7.3131944444444347E-3</v>
      </c>
      <c r="D48">
        <f>SUBTOTAL(104,Таблица1[количество потерянных заявок на обслуживание])</f>
        <v>52</v>
      </c>
      <c r="E48" s="59">
        <f>SUBTOTAL(101,Таблица1[коэффи-циент полезной загрузки сервера 1])</f>
        <v>0.37351851851851869</v>
      </c>
      <c r="F48" s="59">
        <f>SUBTOTAL(101,Таблица1[коэффи-циент полезной загрузки сервера 2])</f>
        <v>0.36962962962962975</v>
      </c>
      <c r="G48" s="59">
        <f>SUBTOTAL(101,Таблица1[коэффи-циент полезной загрузки сервера 3])</f>
        <v>0.36009259259259185</v>
      </c>
      <c r="H48">
        <f>SUBTOTAL(104,Таблица1[макс. размер очереди])</f>
        <v>7</v>
      </c>
      <c r="I48" s="67">
        <f>SUBTOTAL(104,Таблица1[длитель-ность обслужи-вания клиентов])</f>
        <v>0.16319444444444386</v>
      </c>
      <c r="L48" t="s">
        <v>87</v>
      </c>
      <c r="M48">
        <v>3.863744947100769E-3</v>
      </c>
      <c r="O48" t="s">
        <v>87</v>
      </c>
      <c r="P48">
        <v>4.6020621733310558E-3</v>
      </c>
      <c r="R48" t="s">
        <v>87</v>
      </c>
      <c r="S48">
        <v>3.8505841181150908E-3</v>
      </c>
    </row>
    <row r="49" spans="1:19" ht="15" thickBot="1">
      <c r="L49" t="s">
        <v>88</v>
      </c>
      <c r="M49">
        <v>0.37962962962962621</v>
      </c>
      <c r="O49" t="s">
        <v>88</v>
      </c>
      <c r="P49">
        <v>0.36944444444444235</v>
      </c>
      <c r="R49" t="s">
        <v>88</v>
      </c>
      <c r="S49">
        <v>0.36018518518518405</v>
      </c>
    </row>
    <row r="50" spans="1:19">
      <c r="A50" s="81" t="s">
        <v>103</v>
      </c>
      <c r="B50" s="81" t="s">
        <v>105</v>
      </c>
      <c r="L50" t="s">
        <v>89</v>
      </c>
      <c r="M50">
        <v>0.38148148148147715</v>
      </c>
      <c r="O50" t="s">
        <v>89</v>
      </c>
      <c r="P50" t="e">
        <v>#N/A</v>
      </c>
      <c r="R50" t="s">
        <v>89</v>
      </c>
      <c r="S50">
        <v>0.37407407407407095</v>
      </c>
    </row>
    <row r="51" spans="1:19">
      <c r="A51" s="83">
        <v>38</v>
      </c>
      <c r="B51">
        <v>4</v>
      </c>
      <c r="L51" t="s">
        <v>90</v>
      </c>
      <c r="M51">
        <v>1.7279192698877299E-2</v>
      </c>
      <c r="O51" t="s">
        <v>90</v>
      </c>
      <c r="P51">
        <v>2.0581047712497323E-2</v>
      </c>
      <c r="R51" t="s">
        <v>90</v>
      </c>
      <c r="S51">
        <v>1.7220335682372846E-2</v>
      </c>
    </row>
    <row r="52" spans="1:19">
      <c r="A52" s="83">
        <v>41.5</v>
      </c>
      <c r="B52">
        <v>3</v>
      </c>
      <c r="L52" t="s">
        <v>91</v>
      </c>
      <c r="M52">
        <v>2.985705003249346E-4</v>
      </c>
      <c r="O52" t="s">
        <v>91</v>
      </c>
      <c r="P52">
        <v>4.2357952494409133E-4</v>
      </c>
      <c r="R52" t="s">
        <v>91</v>
      </c>
      <c r="S52">
        <v>2.9653996101360345E-4</v>
      </c>
    </row>
    <row r="53" spans="1:19">
      <c r="A53" s="83">
        <v>45</v>
      </c>
      <c r="B53">
        <v>7</v>
      </c>
      <c r="L53" t="s">
        <v>92</v>
      </c>
      <c r="M53">
        <v>0.78530435243102836</v>
      </c>
      <c r="O53" t="s">
        <v>92</v>
      </c>
      <c r="P53">
        <v>-0.16264660154506405</v>
      </c>
      <c r="R53" t="s">
        <v>92</v>
      </c>
      <c r="S53">
        <v>1.1472946845170471</v>
      </c>
    </row>
    <row r="54" spans="1:19">
      <c r="A54" s="83">
        <v>48.5</v>
      </c>
      <c r="B54">
        <v>2</v>
      </c>
      <c r="L54" t="s">
        <v>93</v>
      </c>
      <c r="M54">
        <v>-1.0723628369311031</v>
      </c>
      <c r="O54" t="s">
        <v>93</v>
      </c>
      <c r="P54">
        <v>0.25029983731332334</v>
      </c>
      <c r="R54" t="s">
        <v>93</v>
      </c>
      <c r="S54">
        <v>0.14990525283311981</v>
      </c>
    </row>
    <row r="55" spans="1:19" ht="15" thickBot="1">
      <c r="A55" s="80" t="s">
        <v>112</v>
      </c>
      <c r="B55" s="80">
        <v>4</v>
      </c>
      <c r="L55" t="s">
        <v>94</v>
      </c>
      <c r="M55">
        <v>6.6666666666669983E-2</v>
      </c>
      <c r="O55" t="s">
        <v>94</v>
      </c>
      <c r="P55">
        <v>8.1481481481484763E-2</v>
      </c>
      <c r="R55" t="s">
        <v>94</v>
      </c>
      <c r="S55">
        <v>7.5925925925920013E-2</v>
      </c>
    </row>
    <row r="56" spans="1:19">
      <c r="L56" t="s">
        <v>95</v>
      </c>
      <c r="M56">
        <v>0.32962962962962905</v>
      </c>
      <c r="O56" t="s">
        <v>95</v>
      </c>
      <c r="P56">
        <v>0.32962962962962666</v>
      </c>
      <c r="R56" t="s">
        <v>95</v>
      </c>
      <c r="S56">
        <v>0.32592592592592479</v>
      </c>
    </row>
    <row r="57" spans="1:19">
      <c r="L57" t="s">
        <v>96</v>
      </c>
      <c r="M57">
        <v>0.39629629629629903</v>
      </c>
      <c r="O57" t="s">
        <v>96</v>
      </c>
      <c r="P57">
        <v>0.41111111111111143</v>
      </c>
      <c r="R57" t="s">
        <v>96</v>
      </c>
      <c r="S57">
        <v>0.4018518518518448</v>
      </c>
    </row>
    <row r="58" spans="1:19">
      <c r="L58" t="s">
        <v>97</v>
      </c>
      <c r="M58">
        <v>7.4703703703703743</v>
      </c>
      <c r="O58" t="s">
        <v>97</v>
      </c>
      <c r="P58">
        <v>7.392592592592595</v>
      </c>
      <c r="R58" t="s">
        <v>97</v>
      </c>
      <c r="S58">
        <v>7.2018518518518375</v>
      </c>
    </row>
    <row r="59" spans="1:19" ht="15" thickBot="1">
      <c r="L59" s="80" t="s">
        <v>98</v>
      </c>
      <c r="M59" s="80">
        <v>20</v>
      </c>
      <c r="O59" s="80" t="s">
        <v>98</v>
      </c>
      <c r="P59" s="80">
        <v>20</v>
      </c>
      <c r="R59" s="80" t="s">
        <v>98</v>
      </c>
      <c r="S59" s="80">
        <v>20</v>
      </c>
    </row>
    <row r="60" spans="1:19">
      <c r="A60" s="81" t="s">
        <v>103</v>
      </c>
      <c r="B60" s="81" t="s">
        <v>105</v>
      </c>
      <c r="C60" s="81" t="s">
        <v>106</v>
      </c>
    </row>
    <row r="61" spans="1:19">
      <c r="A61" s="67">
        <v>7.081056466302387E-3</v>
      </c>
      <c r="B61">
        <v>1</v>
      </c>
      <c r="C61" s="69">
        <v>0.05</v>
      </c>
    </row>
    <row r="62" spans="1:19">
      <c r="A62" s="67">
        <v>7.3348640783401807E-3</v>
      </c>
      <c r="B62">
        <v>1</v>
      </c>
      <c r="C62" s="69">
        <v>0.1</v>
      </c>
    </row>
    <row r="63" spans="1:19" ht="15" thickBot="1">
      <c r="A63" s="67">
        <v>7.5886716903779744E-3</v>
      </c>
      <c r="B63">
        <v>5</v>
      </c>
      <c r="C63" s="69">
        <v>0.35</v>
      </c>
      <c r="M63" s="2" t="s">
        <v>1</v>
      </c>
      <c r="N63" s="3"/>
      <c r="O63" s="4" t="s">
        <v>2</v>
      </c>
      <c r="P63" s="5"/>
      <c r="Q63" s="6" t="s">
        <v>3</v>
      </c>
      <c r="R63" s="7"/>
      <c r="S63" s="8"/>
    </row>
    <row r="64" spans="1:19" ht="15" thickBot="1">
      <c r="A64" s="67">
        <v>7.8424793024157672E-3</v>
      </c>
      <c r="B64">
        <v>7</v>
      </c>
      <c r="C64" s="69">
        <v>0.7</v>
      </c>
      <c r="M64" s="44">
        <v>0.375</v>
      </c>
      <c r="N64" s="9"/>
      <c r="O64" s="45">
        <v>0.75</v>
      </c>
      <c r="P64" s="10"/>
      <c r="Q64" s="11">
        <v>2</v>
      </c>
      <c r="R64" s="12" t="s">
        <v>4</v>
      </c>
      <c r="S64" s="13"/>
    </row>
    <row r="65" spans="1:16">
      <c r="A65" s="67">
        <v>8.0962869144535609E-3</v>
      </c>
      <c r="B65">
        <v>2</v>
      </c>
      <c r="C65" s="69">
        <v>0.8</v>
      </c>
      <c r="L65" s="72" t="s">
        <v>83</v>
      </c>
      <c r="M65" s="92" t="s">
        <v>5</v>
      </c>
      <c r="N65" s="14" t="s">
        <v>6</v>
      </c>
      <c r="O65" s="14" t="s">
        <v>7</v>
      </c>
      <c r="P65" s="15" t="s">
        <v>8</v>
      </c>
    </row>
    <row r="66" spans="1:16">
      <c r="A66" s="67">
        <v>8.3500945264913546E-3</v>
      </c>
      <c r="B66">
        <v>1</v>
      </c>
      <c r="C66" s="69">
        <v>0.85</v>
      </c>
      <c r="M66" s="93"/>
      <c r="N66" s="16" t="s">
        <v>9</v>
      </c>
      <c r="O66" s="16" t="s">
        <v>9</v>
      </c>
      <c r="P66" s="17" t="s">
        <v>10</v>
      </c>
    </row>
    <row r="67" spans="1:16" ht="15" thickBot="1">
      <c r="A67" s="67">
        <v>8.6039021385291483E-3</v>
      </c>
      <c r="B67">
        <v>2</v>
      </c>
      <c r="C67" s="69">
        <v>0.95</v>
      </c>
      <c r="M67" s="94"/>
      <c r="N67" s="18"/>
      <c r="O67" s="18"/>
      <c r="P67" s="19" t="s">
        <v>11</v>
      </c>
    </row>
    <row r="68" spans="1:16" ht="15" thickBot="1">
      <c r="A68" s="80" t="s">
        <v>104</v>
      </c>
      <c r="B68" s="80">
        <v>1</v>
      </c>
      <c r="C68" s="82">
        <v>1</v>
      </c>
      <c r="M68" s="20">
        <v>0.15</v>
      </c>
      <c r="N68" s="21">
        <v>0</v>
      </c>
      <c r="O68" s="22">
        <f>N68+M68</f>
        <v>0.15</v>
      </c>
      <c r="P68" s="23">
        <v>3</v>
      </c>
    </row>
    <row r="69" spans="1:16">
      <c r="A69" s="67"/>
      <c r="C69" s="69"/>
      <c r="M69" s="20">
        <v>0.25</v>
      </c>
      <c r="N69" s="22">
        <f>O68</f>
        <v>0.15</v>
      </c>
      <c r="O69" s="22">
        <f>N69+M69</f>
        <v>0.4</v>
      </c>
      <c r="P69" s="23">
        <v>7</v>
      </c>
    </row>
    <row r="70" spans="1:16">
      <c r="M70" s="20">
        <v>0.25</v>
      </c>
      <c r="N70" s="22">
        <f>O69</f>
        <v>0.4</v>
      </c>
      <c r="O70" s="22">
        <f>N70+M70</f>
        <v>0.65</v>
      </c>
      <c r="P70" s="23">
        <v>9</v>
      </c>
    </row>
    <row r="71" spans="1:16" ht="15" thickBot="1">
      <c r="M71" s="24">
        <v>0.35</v>
      </c>
      <c r="N71" s="25">
        <f>O70</f>
        <v>0.65</v>
      </c>
      <c r="O71" s="25">
        <f>N71+M71</f>
        <v>1</v>
      </c>
      <c r="P71" s="26">
        <v>17</v>
      </c>
    </row>
    <row r="72" spans="1:16">
      <c r="L72" s="72" t="s">
        <v>84</v>
      </c>
      <c r="M72" t="s">
        <v>85</v>
      </c>
    </row>
    <row r="73" spans="1:16">
      <c r="A73" s="67"/>
      <c r="C73" s="69"/>
    </row>
    <row r="74" spans="1:16">
      <c r="A74" s="67"/>
      <c r="C74" s="69"/>
    </row>
    <row r="75" spans="1:16">
      <c r="A75" s="67"/>
      <c r="C75" s="69"/>
    </row>
    <row r="76" spans="1:16">
      <c r="A76" s="67"/>
      <c r="C76" s="69"/>
    </row>
    <row r="77" spans="1:16">
      <c r="A77" s="67"/>
      <c r="B77">
        <v>1</v>
      </c>
      <c r="C77">
        <v>2</v>
      </c>
      <c r="D77">
        <v>3</v>
      </c>
    </row>
    <row r="78" spans="1:16">
      <c r="A78" s="67" t="s">
        <v>113</v>
      </c>
      <c r="B78">
        <v>0.39629629629629903</v>
      </c>
      <c r="C78">
        <v>0.41111111111111143</v>
      </c>
      <c r="D78">
        <v>0.4018518518518448</v>
      </c>
    </row>
    <row r="79" spans="1:16">
      <c r="A79" s="67" t="s">
        <v>107</v>
      </c>
      <c r="B79">
        <v>0.32962962962962905</v>
      </c>
      <c r="C79">
        <v>0.32962962962962666</v>
      </c>
      <c r="D79">
        <v>0.32592592592592479</v>
      </c>
    </row>
    <row r="80" spans="1:16">
      <c r="A80" t="s">
        <v>114</v>
      </c>
      <c r="B80">
        <v>0.37351851851851869</v>
      </c>
      <c r="C80">
        <v>0.36962962962962975</v>
      </c>
      <c r="D80">
        <v>0.36009259259259185</v>
      </c>
    </row>
    <row r="87" spans="1:22">
      <c r="A87" s="91" t="s">
        <v>115</v>
      </c>
    </row>
    <row r="89" spans="1:22" ht="43.5">
      <c r="A89" s="84" t="s">
        <v>60</v>
      </c>
      <c r="B89" s="85" t="s">
        <v>61</v>
      </c>
      <c r="C89" s="86" t="s">
        <v>62</v>
      </c>
      <c r="D89" s="87" t="s">
        <v>63</v>
      </c>
      <c r="E89" s="88" t="s">
        <v>64</v>
      </c>
      <c r="F89" s="88" t="s">
        <v>65</v>
      </c>
      <c r="G89" s="88" t="s">
        <v>66</v>
      </c>
      <c r="H89" s="89" t="s">
        <v>67</v>
      </c>
      <c r="I89" s="90" t="s">
        <v>68</v>
      </c>
    </row>
    <row r="90" spans="1:22" ht="15" thickBot="1">
      <c r="A90">
        <v>1</v>
      </c>
      <c r="B90" s="67">
        <v>9.2470760233919359E-3</v>
      </c>
      <c r="C90" s="67">
        <v>7.8749999999999896E-3</v>
      </c>
      <c r="D90">
        <v>43</v>
      </c>
      <c r="E90" s="59">
        <v>0.40185185185184952</v>
      </c>
      <c r="F90" s="59">
        <v>0.41481481481481336</v>
      </c>
      <c r="G90" s="59">
        <v>0.41111111111111143</v>
      </c>
      <c r="H90">
        <v>6</v>
      </c>
      <c r="I90" s="67">
        <v>0.16180555555555498</v>
      </c>
      <c r="L90" s="2" t="s">
        <v>1</v>
      </c>
      <c r="M90" s="3"/>
      <c r="N90" s="4" t="s">
        <v>2</v>
      </c>
      <c r="O90" s="5"/>
      <c r="P90" s="6" t="s">
        <v>3</v>
      </c>
      <c r="Q90" s="7"/>
      <c r="R90" s="8"/>
    </row>
    <row r="91" spans="1:22" ht="15" thickBot="1">
      <c r="A91">
        <v>2</v>
      </c>
      <c r="B91" s="67">
        <v>8.4889846743295538E-3</v>
      </c>
      <c r="C91" s="67">
        <v>7.2361111111111012E-3</v>
      </c>
      <c r="D91">
        <v>42</v>
      </c>
      <c r="E91" s="59">
        <v>0.3851851851851838</v>
      </c>
      <c r="F91" s="59">
        <v>0.38148148148147715</v>
      </c>
      <c r="G91" s="59">
        <v>0.37407407407407334</v>
      </c>
      <c r="H91">
        <v>5</v>
      </c>
      <c r="I91" s="67">
        <v>0.14861111111111069</v>
      </c>
      <c r="L91" s="44">
        <v>0.375</v>
      </c>
      <c r="M91" s="9"/>
      <c r="N91" s="45">
        <v>0.75</v>
      </c>
      <c r="O91" s="10"/>
      <c r="P91" s="11">
        <v>4</v>
      </c>
      <c r="Q91" s="12" t="s">
        <v>4</v>
      </c>
      <c r="R91" s="13"/>
    </row>
    <row r="92" spans="1:22">
      <c r="A92">
        <v>3</v>
      </c>
      <c r="B92" s="67">
        <v>7.9637096774194411E-3</v>
      </c>
      <c r="C92" s="67">
        <v>6.9444444444444354E-3</v>
      </c>
      <c r="D92">
        <v>38</v>
      </c>
      <c r="E92" s="59">
        <v>0.38518518518517908</v>
      </c>
      <c r="F92" s="59">
        <v>0.37592592592592428</v>
      </c>
      <c r="G92" s="59">
        <v>0.34999999999999903</v>
      </c>
      <c r="H92">
        <v>5</v>
      </c>
      <c r="I92" s="67">
        <v>0.14791666666666625</v>
      </c>
      <c r="K92" s="72" t="s">
        <v>83</v>
      </c>
      <c r="L92" s="92" t="s">
        <v>5</v>
      </c>
      <c r="M92" s="14" t="s">
        <v>6</v>
      </c>
      <c r="N92" s="14" t="s">
        <v>7</v>
      </c>
      <c r="O92" s="15" t="s">
        <v>8</v>
      </c>
    </row>
    <row r="93" spans="1:22">
      <c r="A93">
        <v>4</v>
      </c>
      <c r="B93" s="67">
        <v>8.2773297491040409E-3</v>
      </c>
      <c r="C93" s="67">
        <v>7.2638888888888796E-3</v>
      </c>
      <c r="D93">
        <v>38</v>
      </c>
      <c r="E93" s="59">
        <v>0.37777777777777999</v>
      </c>
      <c r="F93" s="59">
        <v>0.37407407407407806</v>
      </c>
      <c r="G93" s="59">
        <v>0.39259259259259238</v>
      </c>
      <c r="H93">
        <v>4</v>
      </c>
      <c r="I93" s="67">
        <v>0.15416666666666612</v>
      </c>
      <c r="L93" s="93"/>
      <c r="M93" s="16" t="s">
        <v>9</v>
      </c>
      <c r="N93" s="16" t="s">
        <v>9</v>
      </c>
      <c r="O93" s="17" t="s">
        <v>10</v>
      </c>
    </row>
    <row r="94" spans="1:22" ht="15" thickBot="1">
      <c r="A94">
        <v>5</v>
      </c>
      <c r="B94" s="67">
        <v>7.7868852459016744E-3</v>
      </c>
      <c r="C94" s="67">
        <v>7.1388888888888804E-3</v>
      </c>
      <c r="D94">
        <v>39</v>
      </c>
      <c r="E94" s="59">
        <v>0.35925925925926094</v>
      </c>
      <c r="F94" s="59">
        <v>0.34814814814815048</v>
      </c>
      <c r="G94" s="59">
        <v>0.3574074074074029</v>
      </c>
      <c r="H94">
        <v>5</v>
      </c>
      <c r="I94" s="67">
        <v>0.14027777777777728</v>
      </c>
      <c r="J94" s="59"/>
      <c r="L94" s="94"/>
      <c r="M94" s="18"/>
      <c r="N94" s="18"/>
      <c r="O94" s="19" t="s">
        <v>11</v>
      </c>
      <c r="U94" s="59"/>
      <c r="V94" s="59"/>
    </row>
    <row r="95" spans="1:22">
      <c r="A95">
        <v>6</v>
      </c>
      <c r="B95" s="67">
        <v>8.581349206349325E-3</v>
      </c>
      <c r="C95" s="67">
        <v>7.4722222222222126E-3</v>
      </c>
      <c r="D95">
        <v>44</v>
      </c>
      <c r="E95" s="59">
        <v>0.37222222222222001</v>
      </c>
      <c r="F95" s="59">
        <v>0.36111111111111188</v>
      </c>
      <c r="G95" s="59">
        <v>0.35185185185185236</v>
      </c>
      <c r="H95">
        <v>6</v>
      </c>
      <c r="I95" s="67">
        <v>0.14166666666666616</v>
      </c>
      <c r="J95" s="59"/>
      <c r="L95" s="20">
        <v>0.15</v>
      </c>
      <c r="M95" s="21">
        <v>0</v>
      </c>
      <c r="N95" s="22">
        <f>M95+L95</f>
        <v>0.15</v>
      </c>
      <c r="O95" s="23">
        <v>3</v>
      </c>
      <c r="U95" s="59"/>
      <c r="V95" s="59"/>
    </row>
    <row r="96" spans="1:22">
      <c r="A96">
        <v>7</v>
      </c>
      <c r="B96" s="67">
        <v>8.9248971193416939E-3</v>
      </c>
      <c r="C96" s="67">
        <v>7.0972222222222148E-3</v>
      </c>
      <c r="D96">
        <v>46</v>
      </c>
      <c r="E96" s="59">
        <v>0.38148148148147715</v>
      </c>
      <c r="F96" s="59">
        <v>0.3796296296296286</v>
      </c>
      <c r="G96" s="59">
        <v>0.36111111111110955</v>
      </c>
      <c r="H96">
        <v>7</v>
      </c>
      <c r="I96" s="67">
        <v>0.14583333333333304</v>
      </c>
      <c r="J96" s="59"/>
      <c r="L96" s="20">
        <v>0.25</v>
      </c>
      <c r="M96" s="22">
        <f>N95</f>
        <v>0.15</v>
      </c>
      <c r="N96" s="22">
        <f>M96+L96</f>
        <v>0.4</v>
      </c>
      <c r="O96" s="23">
        <v>7</v>
      </c>
      <c r="U96" s="59"/>
      <c r="V96" s="59"/>
    </row>
    <row r="97" spans="1:22">
      <c r="A97">
        <v>8</v>
      </c>
      <c r="B97" s="67">
        <v>9.3434343434344643E-3</v>
      </c>
      <c r="C97" s="67">
        <v>7.7361111111111016E-3</v>
      </c>
      <c r="D97">
        <v>45</v>
      </c>
      <c r="E97" s="59">
        <v>0.4092592592592581</v>
      </c>
      <c r="F97" s="59">
        <v>0.37407407407407806</v>
      </c>
      <c r="G97" s="59">
        <v>0.39999999999999858</v>
      </c>
      <c r="H97">
        <v>5</v>
      </c>
      <c r="I97" s="67">
        <v>0.15624999999999956</v>
      </c>
      <c r="J97" s="59"/>
      <c r="L97" s="20">
        <v>0.25</v>
      </c>
      <c r="M97" s="22">
        <f>N96</f>
        <v>0.4</v>
      </c>
      <c r="N97" s="22">
        <f>M97+L97</f>
        <v>0.65</v>
      </c>
      <c r="O97" s="23">
        <v>9</v>
      </c>
      <c r="U97" s="59"/>
      <c r="V97" s="59"/>
    </row>
    <row r="98" spans="1:22" ht="15" thickBot="1">
      <c r="A98">
        <v>9</v>
      </c>
      <c r="B98" s="67">
        <v>8.3459595959596618E-3</v>
      </c>
      <c r="C98" s="67">
        <v>7.6111111111111006E-3</v>
      </c>
      <c r="D98">
        <v>45</v>
      </c>
      <c r="E98" s="59">
        <v>0.35000000000000142</v>
      </c>
      <c r="F98" s="59">
        <v>0.35185185185185236</v>
      </c>
      <c r="G98" s="59">
        <v>0.3481481481481481</v>
      </c>
      <c r="H98">
        <v>5</v>
      </c>
      <c r="I98" s="67">
        <v>0.13680555555555529</v>
      </c>
      <c r="J98" s="59"/>
      <c r="L98" s="24">
        <v>0.35</v>
      </c>
      <c r="M98" s="25">
        <f>N97</f>
        <v>0.65</v>
      </c>
      <c r="N98" s="25">
        <f>M98+L98</f>
        <v>1</v>
      </c>
      <c r="O98" s="26">
        <v>17</v>
      </c>
      <c r="U98" s="59"/>
      <c r="V98" s="59"/>
    </row>
    <row r="99" spans="1:22">
      <c r="A99">
        <v>10</v>
      </c>
      <c r="B99" s="67">
        <v>8.0757168458782062E-3</v>
      </c>
      <c r="C99" s="67">
        <v>7.041666666666657E-3</v>
      </c>
      <c r="D99">
        <v>38</v>
      </c>
      <c r="E99" s="59">
        <v>0.38703703703703241</v>
      </c>
      <c r="F99" s="59">
        <v>0.37407407407407334</v>
      </c>
      <c r="G99" s="59">
        <v>0.38703703703703712</v>
      </c>
      <c r="H99">
        <v>6</v>
      </c>
      <c r="I99" s="67">
        <v>0.15138888888888835</v>
      </c>
      <c r="J99" s="59"/>
      <c r="K99" s="72" t="s">
        <v>84</v>
      </c>
      <c r="L99" t="s">
        <v>85</v>
      </c>
      <c r="U99" s="59"/>
      <c r="V99" s="59"/>
    </row>
    <row r="100" spans="1:22">
      <c r="A100">
        <v>11</v>
      </c>
      <c r="B100" s="67">
        <v>8.3101851851852745E-3</v>
      </c>
      <c r="C100" s="67">
        <v>6.8472222222222138E-3</v>
      </c>
      <c r="D100">
        <v>40</v>
      </c>
      <c r="E100" s="59">
        <v>0.37407407407407095</v>
      </c>
      <c r="F100" s="59">
        <v>0.38888888888888573</v>
      </c>
      <c r="G100" s="59">
        <v>0.37777777777777527</v>
      </c>
      <c r="H100">
        <v>4</v>
      </c>
      <c r="I100" s="67">
        <v>0.15277777777777724</v>
      </c>
    </row>
    <row r="101" spans="1:22" ht="15" thickBot="1">
      <c r="A101">
        <v>12</v>
      </c>
      <c r="B101" s="67">
        <v>9.1692386831276791E-3</v>
      </c>
      <c r="C101" s="67">
        <v>7.7361111111111016E-3</v>
      </c>
      <c r="D101">
        <v>46</v>
      </c>
      <c r="E101" s="59">
        <v>0.38333333333333047</v>
      </c>
      <c r="F101" s="59">
        <v>0.37037037037036669</v>
      </c>
      <c r="G101" s="59">
        <v>0.36851851851852047</v>
      </c>
      <c r="H101">
        <v>6</v>
      </c>
      <c r="I101" s="67">
        <v>0.14722222222222181</v>
      </c>
    </row>
    <row r="102" spans="1:22">
      <c r="A102">
        <v>13</v>
      </c>
      <c r="B102" s="67">
        <v>7.8072390572391341E-3</v>
      </c>
      <c r="C102" s="67">
        <v>7.0416666666666596E-3</v>
      </c>
      <c r="D102">
        <v>34</v>
      </c>
      <c r="E102" s="59">
        <v>0.39259259259259238</v>
      </c>
      <c r="F102" s="59">
        <v>0.38888888888889045</v>
      </c>
      <c r="G102" s="59">
        <v>0.39629629629629431</v>
      </c>
      <c r="H102">
        <v>4</v>
      </c>
      <c r="I102" s="67">
        <v>0.155555555555555</v>
      </c>
      <c r="K102" s="68" t="s">
        <v>100</v>
      </c>
      <c r="L102" s="68"/>
      <c r="N102" s="68" t="s">
        <v>101</v>
      </c>
      <c r="O102" s="68"/>
      <c r="Q102" s="68" t="s">
        <v>102</v>
      </c>
      <c r="R102" s="68"/>
    </row>
    <row r="103" spans="1:22">
      <c r="A103">
        <v>14</v>
      </c>
      <c r="B103" s="67">
        <v>8.5891812865498043E-3</v>
      </c>
      <c r="C103" s="67">
        <v>7.6111111111111015E-3</v>
      </c>
      <c r="D103">
        <v>43</v>
      </c>
      <c r="E103" s="59">
        <v>0.38333333333333286</v>
      </c>
      <c r="F103" s="59">
        <v>0.3648148148148162</v>
      </c>
      <c r="G103" s="59">
        <v>0.35370370370370569</v>
      </c>
      <c r="H103">
        <v>8</v>
      </c>
      <c r="I103" s="67">
        <v>0.14652777777777759</v>
      </c>
      <c r="J103" s="59"/>
      <c r="M103" s="59"/>
      <c r="P103" s="59"/>
      <c r="S103" s="59"/>
      <c r="T103" s="59"/>
      <c r="U103" s="59"/>
      <c r="V103" s="59"/>
    </row>
    <row r="104" spans="1:22">
      <c r="A104">
        <v>15</v>
      </c>
      <c r="B104" s="67">
        <v>8.4510357815443665E-3</v>
      </c>
      <c r="C104" s="67">
        <v>7.24999999999999E-3</v>
      </c>
      <c r="D104">
        <v>41</v>
      </c>
      <c r="E104" s="59">
        <v>0.39629629629629431</v>
      </c>
      <c r="F104" s="59">
        <v>0.3648148148148162</v>
      </c>
      <c r="G104" s="59">
        <v>0.36666666666666475</v>
      </c>
      <c r="H104">
        <v>6</v>
      </c>
      <c r="I104" s="67">
        <v>0.14930555555555536</v>
      </c>
      <c r="J104" s="59"/>
      <c r="K104" t="s">
        <v>86</v>
      </c>
      <c r="L104">
        <v>0.38203703703703573</v>
      </c>
      <c r="M104" s="59"/>
      <c r="N104" t="s">
        <v>86</v>
      </c>
      <c r="O104">
        <v>0.37574074074074032</v>
      </c>
      <c r="P104" s="59"/>
      <c r="Q104" t="s">
        <v>86</v>
      </c>
      <c r="R104">
        <v>0.37231481481481421</v>
      </c>
      <c r="S104" s="59"/>
      <c r="T104" s="59"/>
      <c r="U104" s="59"/>
      <c r="V104" s="59"/>
    </row>
    <row r="105" spans="1:22">
      <c r="A105">
        <v>16</v>
      </c>
      <c r="B105" s="67">
        <v>8.6520947176685816E-3</v>
      </c>
      <c r="C105" s="67">
        <v>7.7222222222222137E-3</v>
      </c>
      <c r="D105">
        <v>39</v>
      </c>
      <c r="E105" s="59">
        <v>0.40185185185184952</v>
      </c>
      <c r="F105" s="59">
        <v>0.39444444444444099</v>
      </c>
      <c r="G105" s="59">
        <v>0.39074074074074377</v>
      </c>
      <c r="H105">
        <v>4</v>
      </c>
      <c r="I105" s="67">
        <v>0.15138888888888857</v>
      </c>
      <c r="J105" s="59"/>
      <c r="K105" t="s">
        <v>87</v>
      </c>
      <c r="L105">
        <v>3.2077828429387481E-3</v>
      </c>
      <c r="M105" s="59"/>
      <c r="N105" t="s">
        <v>87</v>
      </c>
      <c r="O105">
        <v>3.5694477628338129E-3</v>
      </c>
      <c r="P105" s="59"/>
      <c r="Q105" t="s">
        <v>87</v>
      </c>
      <c r="R105">
        <v>4.1874077660294618E-3</v>
      </c>
      <c r="S105" s="59"/>
      <c r="T105" s="59"/>
      <c r="U105" s="59"/>
      <c r="V105" s="59"/>
    </row>
    <row r="106" spans="1:22">
      <c r="A106">
        <v>17</v>
      </c>
      <c r="B106" s="67">
        <v>8.7626262626263884E-3</v>
      </c>
      <c r="C106" s="67">
        <v>7.1805555555555468E-3</v>
      </c>
      <c r="D106">
        <v>45</v>
      </c>
      <c r="E106" s="59">
        <v>0.37777777777777999</v>
      </c>
      <c r="F106" s="59">
        <v>0.37777777777777527</v>
      </c>
      <c r="G106" s="59">
        <v>0.35370370370370097</v>
      </c>
      <c r="H106">
        <v>8</v>
      </c>
      <c r="I106" s="67">
        <v>0.1472222222222217</v>
      </c>
      <c r="J106" s="59"/>
      <c r="K106" t="s">
        <v>88</v>
      </c>
      <c r="L106">
        <v>0.38240740740740381</v>
      </c>
      <c r="M106" s="59"/>
      <c r="N106" t="s">
        <v>88</v>
      </c>
      <c r="O106">
        <v>0.37407407407407806</v>
      </c>
      <c r="P106" s="59"/>
      <c r="Q106" t="s">
        <v>88</v>
      </c>
      <c r="R106">
        <v>0.36759259259259258</v>
      </c>
      <c r="S106" s="59"/>
      <c r="T106" s="59"/>
      <c r="U106" s="59"/>
      <c r="V106" s="59"/>
    </row>
    <row r="107" spans="1:22">
      <c r="A107">
        <v>18</v>
      </c>
      <c r="B107" s="67">
        <v>9.6805555555557372E-3</v>
      </c>
      <c r="C107" s="67">
        <v>8.2777777777777676E-3</v>
      </c>
      <c r="D107">
        <v>50</v>
      </c>
      <c r="E107" s="59">
        <v>0.36666666666666714</v>
      </c>
      <c r="F107" s="59">
        <v>0.36111111111110716</v>
      </c>
      <c r="G107" s="59">
        <v>0.37962962962962621</v>
      </c>
      <c r="H107">
        <v>5</v>
      </c>
      <c r="I107" s="67">
        <v>0.14791666666666647</v>
      </c>
      <c r="J107" s="59"/>
      <c r="K107" t="s">
        <v>89</v>
      </c>
      <c r="L107">
        <v>0.40185185185184952</v>
      </c>
      <c r="M107" s="59"/>
      <c r="N107" t="s">
        <v>89</v>
      </c>
      <c r="O107">
        <v>0.37407407407407806</v>
      </c>
      <c r="P107" s="59"/>
      <c r="Q107" t="s">
        <v>89</v>
      </c>
      <c r="R107" t="e">
        <v>#N/A</v>
      </c>
      <c r="S107" s="59"/>
      <c r="T107" s="59"/>
      <c r="U107" s="59"/>
      <c r="V107" s="59"/>
    </row>
    <row r="108" spans="1:22">
      <c r="A108">
        <v>19</v>
      </c>
      <c r="B108" s="67">
        <v>8.0942622950820713E-3</v>
      </c>
      <c r="C108" s="67">
        <v>6.6527777777777696E-3</v>
      </c>
      <c r="D108">
        <v>39</v>
      </c>
      <c r="E108" s="59">
        <v>0.3796296296296286</v>
      </c>
      <c r="F108" s="59">
        <v>0.3703703703703714</v>
      </c>
      <c r="G108" s="59">
        <v>0.36296296296296759</v>
      </c>
      <c r="H108">
        <v>6</v>
      </c>
      <c r="I108" s="67">
        <v>0.14513888888888871</v>
      </c>
      <c r="J108" s="59"/>
      <c r="K108" t="s">
        <v>90</v>
      </c>
      <c r="L108">
        <v>1.4345640987737145E-2</v>
      </c>
      <c r="M108" s="59"/>
      <c r="N108" t="s">
        <v>90</v>
      </c>
      <c r="O108">
        <v>1.5963055679661907E-2</v>
      </c>
      <c r="P108" s="59"/>
      <c r="Q108" t="s">
        <v>90</v>
      </c>
      <c r="R108">
        <v>1.8726656828704825E-2</v>
      </c>
      <c r="S108" s="59"/>
      <c r="T108" s="59"/>
      <c r="U108" s="59"/>
      <c r="V108" s="59"/>
    </row>
    <row r="109" spans="1:22">
      <c r="A109">
        <v>20</v>
      </c>
      <c r="B109" s="67">
        <v>8.5967432950192421E-3</v>
      </c>
      <c r="C109" s="67">
        <v>7.499999999999991E-3</v>
      </c>
      <c r="D109">
        <v>42</v>
      </c>
      <c r="E109" s="59">
        <v>0.37592592592592666</v>
      </c>
      <c r="F109" s="59">
        <v>0.39814814814814764</v>
      </c>
      <c r="G109" s="59">
        <v>0.36296296296296049</v>
      </c>
      <c r="H109">
        <v>6</v>
      </c>
      <c r="I109" s="67">
        <v>0.15416666666666634</v>
      </c>
      <c r="K109" t="s">
        <v>91</v>
      </c>
      <c r="L109">
        <v>2.0579741534904397E-4</v>
      </c>
      <c r="N109" t="s">
        <v>91</v>
      </c>
      <c r="O109">
        <v>2.5481914663198622E-4</v>
      </c>
      <c r="Q109" t="s">
        <v>91</v>
      </c>
      <c r="R109">
        <v>3.5068767598007701E-4</v>
      </c>
    </row>
    <row r="110" spans="1:22">
      <c r="A110" t="s">
        <v>82</v>
      </c>
      <c r="B110" s="67">
        <f>SUBTOTAL(101,Таблица2[среднее время пребывания в системе])</f>
        <v>8.557425230035413E-3</v>
      </c>
      <c r="C110" s="67">
        <f>SUBTOTAL(101,Таблица2[среднее время обслуживания])</f>
        <v>7.3618055555555451E-3</v>
      </c>
      <c r="D110">
        <f>SUBTOTAL(104,Таблица2[количество потерянных заявок на обслуживание])</f>
        <v>50</v>
      </c>
      <c r="E110" s="59">
        <f>SUBTOTAL(101,Таблица2[коэффи-циент полезной загрузки сервера 1])</f>
        <v>0.38203703703703573</v>
      </c>
      <c r="F110" s="59">
        <f>SUBTOTAL(101,Таблица2[коэффи-циент полезной загрузки сервера 2])</f>
        <v>0.37574074074074032</v>
      </c>
      <c r="G110" s="59">
        <f>SUBTOTAL(101,Таблица2[коэффи-циент полезной загрузки сервера 3])</f>
        <v>0.37231481481481421</v>
      </c>
      <c r="H110">
        <f>SUBTOTAL(104,Таблица2[макс. размер очереди])</f>
        <v>8</v>
      </c>
      <c r="I110" s="67">
        <f>SUBTOTAL(104,Таблица2[длитель-ность обслужи-вания клиентов])</f>
        <v>0.16180555555555498</v>
      </c>
      <c r="K110" t="s">
        <v>92</v>
      </c>
      <c r="L110">
        <v>0.39383187349560211</v>
      </c>
      <c r="N110" t="s">
        <v>92</v>
      </c>
      <c r="O110">
        <v>0.68146138344953577</v>
      </c>
      <c r="Q110" t="s">
        <v>92</v>
      </c>
      <c r="R110">
        <v>-0.83436305789372023</v>
      </c>
    </row>
    <row r="111" spans="1:22">
      <c r="K111" t="s">
        <v>93</v>
      </c>
      <c r="L111">
        <v>-0.20161386370070805</v>
      </c>
      <c r="N111" t="s">
        <v>93</v>
      </c>
      <c r="O111">
        <v>0.55232959356890532</v>
      </c>
      <c r="Q111" t="s">
        <v>93</v>
      </c>
      <c r="R111">
        <v>0.52069831932914834</v>
      </c>
    </row>
    <row r="112" spans="1:22">
      <c r="J112" s="59"/>
      <c r="K112" t="s">
        <v>94</v>
      </c>
      <c r="L112">
        <v>5.925925925925668E-2</v>
      </c>
      <c r="M112" s="59"/>
      <c r="N112" t="s">
        <v>94</v>
      </c>
      <c r="O112">
        <v>6.6666666666662877E-2</v>
      </c>
      <c r="P112" s="59"/>
      <c r="Q112" t="s">
        <v>94</v>
      </c>
      <c r="R112">
        <v>6.2962962962963331E-2</v>
      </c>
      <c r="S112" s="59"/>
      <c r="T112" s="59"/>
      <c r="U112" s="59"/>
      <c r="V112" s="59"/>
    </row>
    <row r="113" spans="1:22">
      <c r="A113" s="67"/>
      <c r="B113">
        <v>1</v>
      </c>
      <c r="C113">
        <v>2</v>
      </c>
      <c r="D113">
        <v>3</v>
      </c>
      <c r="E113" s="59"/>
      <c r="F113" s="59"/>
      <c r="G113" s="59"/>
      <c r="H113" s="59"/>
      <c r="I113" s="59"/>
      <c r="J113" s="59"/>
      <c r="K113" t="s">
        <v>95</v>
      </c>
      <c r="L113">
        <v>0.35000000000000142</v>
      </c>
      <c r="M113" s="59"/>
      <c r="N113" t="s">
        <v>95</v>
      </c>
      <c r="O113">
        <v>0.34814814814815048</v>
      </c>
      <c r="P113" s="59"/>
      <c r="Q113" t="s">
        <v>95</v>
      </c>
      <c r="R113">
        <v>0.3481481481481481</v>
      </c>
      <c r="S113" s="59"/>
      <c r="T113" s="59"/>
      <c r="U113" s="59"/>
      <c r="V113" s="59"/>
    </row>
    <row r="114" spans="1:22">
      <c r="A114" s="67" t="s">
        <v>113</v>
      </c>
      <c r="B114">
        <v>0.4092592592592581</v>
      </c>
      <c r="C114">
        <v>0.41481481481481336</v>
      </c>
      <c r="D114">
        <v>0.41111111111111143</v>
      </c>
      <c r="E114" s="59"/>
      <c r="F114" s="59"/>
      <c r="G114" s="59"/>
      <c r="H114" s="59"/>
      <c r="I114" s="59"/>
      <c r="J114" s="59"/>
      <c r="K114" t="s">
        <v>96</v>
      </c>
      <c r="L114">
        <v>0.4092592592592581</v>
      </c>
      <c r="M114" s="59"/>
      <c r="N114" t="s">
        <v>96</v>
      </c>
      <c r="O114">
        <v>0.41481481481481336</v>
      </c>
      <c r="P114" s="59"/>
      <c r="Q114" t="s">
        <v>96</v>
      </c>
      <c r="R114">
        <v>0.41111111111111143</v>
      </c>
      <c r="S114" s="59"/>
      <c r="T114" s="59"/>
      <c r="U114" s="59"/>
      <c r="V114" s="59"/>
    </row>
    <row r="115" spans="1:22">
      <c r="A115" s="67" t="s">
        <v>107</v>
      </c>
      <c r="B115">
        <v>0.35000000000000142</v>
      </c>
      <c r="C115">
        <v>0.34814814814815048</v>
      </c>
      <c r="D115">
        <v>0.3481481481481481</v>
      </c>
      <c r="E115" s="59"/>
      <c r="F115" s="59"/>
      <c r="G115" s="59"/>
      <c r="H115" s="59"/>
      <c r="I115" s="59"/>
      <c r="J115" s="59"/>
      <c r="K115" t="s">
        <v>97</v>
      </c>
      <c r="L115">
        <v>7.6407407407407151</v>
      </c>
      <c r="M115" s="59"/>
      <c r="N115" t="s">
        <v>97</v>
      </c>
      <c r="O115">
        <v>7.5148148148148062</v>
      </c>
      <c r="P115" s="59"/>
      <c r="Q115" t="s">
        <v>97</v>
      </c>
      <c r="R115">
        <v>7.4462962962962838</v>
      </c>
      <c r="S115" s="59"/>
      <c r="T115" s="59"/>
      <c r="U115" s="59"/>
      <c r="V115" s="59"/>
    </row>
    <row r="116" spans="1:22" ht="15" thickBot="1">
      <c r="A116" t="s">
        <v>114</v>
      </c>
      <c r="B116">
        <v>0.38203703703703573</v>
      </c>
      <c r="C116">
        <v>0.37574074074074032</v>
      </c>
      <c r="D116">
        <v>0.37231481481481421</v>
      </c>
      <c r="E116" s="59"/>
      <c r="F116" s="59"/>
      <c r="G116" s="59"/>
      <c r="H116" s="59"/>
      <c r="I116" s="59"/>
      <c r="J116" s="59"/>
      <c r="K116" s="80" t="s">
        <v>98</v>
      </c>
      <c r="L116" s="80">
        <v>20</v>
      </c>
      <c r="M116" s="59"/>
      <c r="N116" s="80" t="s">
        <v>98</v>
      </c>
      <c r="O116" s="80">
        <v>20</v>
      </c>
      <c r="P116" s="59"/>
      <c r="Q116" s="80" t="s">
        <v>98</v>
      </c>
      <c r="R116" s="80">
        <v>20</v>
      </c>
      <c r="S116" s="59"/>
      <c r="T116" s="59"/>
      <c r="U116" s="59"/>
      <c r="V116" s="59"/>
    </row>
    <row r="117" spans="1:22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P117" s="59"/>
      <c r="Q117" s="59"/>
      <c r="R117" s="59"/>
      <c r="S117" s="59"/>
      <c r="T117" s="59"/>
      <c r="U117" s="59"/>
      <c r="V117" s="59"/>
    </row>
    <row r="118" spans="1:22">
      <c r="A118" s="59"/>
      <c r="B118" s="59"/>
      <c r="C118" s="59"/>
      <c r="D118" s="59"/>
      <c r="E118" s="59"/>
      <c r="F118" s="59"/>
      <c r="G118" s="59"/>
      <c r="H118" s="59"/>
      <c r="I118" s="59"/>
    </row>
  </sheetData>
  <sortState xmlns:xlrd2="http://schemas.microsoft.com/office/spreadsheetml/2017/richdata2" ref="A61:A67">
    <sortCondition ref="A61"/>
  </sortState>
  <mergeCells count="2">
    <mergeCell ref="M65:M67"/>
    <mergeCell ref="L92:L94"/>
  </mergeCells>
  <phoneticPr fontId="11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05A8D-805C-4FF4-8F8B-476EB3227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</vt:i4>
      </vt:variant>
    </vt:vector>
  </HeadingPairs>
  <TitlesOfParts>
    <vt:vector size="14" baseType="lpstr">
      <vt:lpstr>модель</vt:lpstr>
      <vt:lpstr>эксперимент</vt:lpstr>
      <vt:lpstr>ALT</vt:lpstr>
      <vt:lpstr>AST</vt:lpstr>
      <vt:lpstr>closed</vt:lpstr>
      <vt:lpstr>E1F</vt:lpstr>
      <vt:lpstr>E2F</vt:lpstr>
      <vt:lpstr>E3F</vt:lpstr>
      <vt:lpstr>MXQ</vt:lpstr>
      <vt:lpstr>NLC</vt:lpstr>
      <vt:lpstr>renegat</vt:lpstr>
      <vt:lpstr>RUNC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Маша Прекрасная</cp:lastModifiedBy>
  <dcterms:created xsi:type="dcterms:W3CDTF">2026-02-15T11:31:02Z</dcterms:created>
  <dcterms:modified xsi:type="dcterms:W3CDTF">2026-04-22T13:45:08Z</dcterms:modified>
</cp:coreProperties>
</file>